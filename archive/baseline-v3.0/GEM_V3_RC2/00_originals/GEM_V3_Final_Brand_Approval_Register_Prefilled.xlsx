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46b04f3cb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587955043c2b46ac"/>
    <x:sheet xmlns:r="http://schemas.openxmlformats.org/officeDocument/2006/relationships" name="Approval Register" sheetId="2" r:id="R08497a010bb6444c"/>
    <x:sheet xmlns:r="http://schemas.openxmlformats.org/officeDocument/2006/relationships" name="Dashboard" sheetId="3" r:id="Rf6693d9f59954c8c"/>
    <x:sheet xmlns:r="http://schemas.openxmlformats.org/officeDocument/2006/relationships" name="Executive Decisions" sheetId="4" r:id="Rac44a2e4cdb3452c"/>
    <x:sheet xmlns:r="http://schemas.openxmlformats.org/officeDocument/2006/relationships" name="Reference &amp; Benchmark Register" sheetId="5" r:id="Rf005ae6c2cc444d5"/>
    <x:sheet xmlns:r="http://schemas.openxmlformats.org/officeDocument/2006/relationships" name="Validation &amp; Evidence" sheetId="6" r:id="R021f9360bab74260"/>
    <x:sheet xmlns:r="http://schemas.openxmlformats.org/officeDocument/2006/relationships" name="Owners &amp; Governance" sheetId="7" r:id="R0aa5d3c9f48a4716"/>
    <x:sheet xmlns:r="http://schemas.openxmlformats.org/officeDocument/2006/relationships" name="V3.0 Scope &amp; Deliverables" sheetId="8" r:id="R5049d409a05c467c"/>
    <x:sheet xmlns:r="http://schemas.openxmlformats.org/officeDocument/2006/relationships" name="Instructions" sheetId="9" r:id="Rb0780ad99650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1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020202"/>
      <x:name val="Carlito"/>
    </x:font>
    <x:font>
      <x:b/>
      <x:sz val="18"/>
      <x:color rgb="FFFFFFFF"/>
      <x:name val="Carlito"/>
    </x:font>
    <x:font>
      <x:i/>
      <x:sz val="10"/>
      <x:color rgb="FF6A6F74"/>
      <x:name val="Carlito"/>
    </x:font>
    <x:font>
      <x:b/>
      <x:sz val="11"/>
      <x:color rgb="FF12171D"/>
      <x:name val="Carlito"/>
    </x:font>
    <x:font>
      <x:b/>
      <x:sz val="16"/>
      <x:color rgb="FFFFFFFF"/>
      <x:name val="Carlito"/>
    </x:font>
    <x:font>
      <x:i/>
      <x:sz val="11"/>
      <x:color rgb="FF6A6F74"/>
      <x:name val="Carlito"/>
    </x:font>
    <x:font>
      <x:sz val="10"/>
      <x:color rgb="FF12171D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0"/>
      <x:color rgb="FF6A6F74"/>
      <x:name val="Aptos"/>
    </x:font>
    <x:font>
      <x:b/>
      <x:sz val="11"/>
      <x:color rgb="FF12171D"/>
      <x:name val="Aptos"/>
    </x:font>
    <x:font>
      <x:b/>
      <x:sz val="11"/>
      <x:color rgb="FFFFFFFF"/>
      <x:name val="Aptos"/>
    </x:font>
    <x:font>
      <x:b/>
      <x:sz val="16"/>
      <x:color rgb="FFFFFFFF"/>
      <x:name val="Aptos"/>
    </x:font>
    <x:font>
      <x:i/>
      <x:sz val="11"/>
      <x:color rgb="FF6A6F74"/>
      <x:name val="Aptos"/>
    </x:font>
    <x:font>
      <x:sz val="10"/>
      <x:color rgb="FF12171D"/>
      <x:name val="Aptos"/>
    </x:font>
    <x:font>
      <x:b/>
      <x:sz val="10"/>
      <x:color rgb="FFFFFFFF"/>
      <x:name val="Aptos"/>
    </x:font>
    <x:font>
      <x:sz val="9"/>
      <x:color rgb="FF020202"/>
      <x:name val="Aptos"/>
    </x:font>
    <x:font>
      <x:b/>
      <x:i/>
      <x:sz val="18"/>
      <x:color rgb="FF66666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171D"/>
      </x:patternFill>
    </x:fill>
    <x:fill>
      <x:patternFill patternType="solid">
        <x:fgColor rgb="FFFBF7F5"/>
      </x:patternFill>
    </x:fill>
    <x:fill>
      <x:patternFill patternType="solid">
        <x:fgColor rgb="FFF5F2F0"/>
      </x:patternFill>
    </x:fill>
    <x:fill>
      <x:patternFill patternType="solid">
        <x:fgColor rgb="FFBCACA7"/>
      </x:patternFill>
    </x:fill>
  </x:fills>
  <x:borders count="2">
    <x:border/>
    <x:border/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horizontal="center" wrapText="1"/>
    </x:xf>
    <x:xf numFmtId="200" fontId="6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  <x:xf numFmtId="0" fontId="13" fillId="5" borderId="0" xfId="0" applyNumberFormat="1" applyFont="1" applyFill="1" applyBorder="1" applyAlignment="1">
      <x:alignment horizontal="center"/>
    </x:xf>
    <x:xf numFmtId="0" fontId="14" fillId="2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0" fontId="13" fillId="0" borderId="0" xfId="0" applyNumberFormat="1" applyFont="1" applyFill="1" applyBorder="1" applyAlignment="1">
      <x:alignment horizontal="center" wrapText="1"/>
    </x:xf>
    <x:xf numFmtId="0" fontId="14" fillId="2" borderId="0" xfId="0" applyNumberFormat="1" applyFont="1" applyFill="1" applyBorder="1"/>
    <x:xf numFmtId="0" fontId="10" fillId="2" borderId="1" xfId="0" applyNumberFormat="1" applyFont="1" applyFill="1" applyBorder="1" applyAlignment="1">
      <x:alignment horizontal="left" vertical="center"/>
    </x:xf>
    <x:xf numFmtId="0" fontId="11" fillId="0" borderId="1" xfId="0" applyNumberFormat="1" applyFont="1" applyFill="1" applyBorder="1"/>
    <x:xf numFmtId="0" fontId="12" fillId="0" borderId="1" xfId="0" applyNumberFormat="1" applyFont="1" applyFill="1" applyBorder="1"/>
    <x:xf numFmtId="0" fontId="13" fillId="4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horizontal="center" wrapText="1"/>
    </x:xf>
    <x:xf numFmtId="0" fontId="13" fillId="5" borderId="1" xfId="0" applyNumberFormat="1" applyFont="1" applyFill="1" applyBorder="1" applyAlignment="1">
      <x:alignment horizontal="center"/>
    </x:xf>
    <x:xf numFmtId="0" fontId="14" fillId="2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200" fontId="13" fillId="0" borderId="1" xfId="0" applyNumberFormat="1" applyFont="1" applyFill="1" applyBorder="1" applyAlignment="1">
      <x:alignment horizontal="center" wrapText="1"/>
    </x:xf>
    <x:xf numFmtId="0" fontId="14" fillId="2" borderId="1" xfId="0" applyNumberFormat="1" applyFont="1" applyFill="1" applyBorder="1"/>
    <x:xf numFmtId="0" fontId="15" fillId="2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5" fillId="2" borderId="1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/>
    <x:xf numFmtId="0" fontId="13" fillId="5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top" wrapText="1"/>
    </x:xf>
    <x:xf numFmtId="0" fontId="17" fillId="4" borderId="0" xfId="0" applyNumberFormat="1" applyFont="1" applyFill="1" applyBorder="1" applyAlignment="1">
      <x:alignment vertical="center" wrapText="1"/>
    </x:xf>
    <x:xf numFmtId="0" fontId="17" fillId="4" borderId="1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/>
    <x:xf numFmtId="0" fontId="13" fillId="5" borderId="1" xfId="0" applyNumberFormat="1" applyFont="1" applyFill="1" applyBorder="1"/>
    <x:xf numFmtId="0" fontId="18" fillId="2" borderId="0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 applyAlignment="1">
      <x:alignment vertical="top"/>
    </x:xf>
    <x:xf numFmtId="0" fontId="19" fillId="0" borderId="0" xfId="0" applyNumberFormat="1" applyFont="1" applyFill="1" applyBorder="1" applyAlignment="1">
      <x:alignment vertical="top" wrapText="1"/>
    </x:xf>
    <x:xf numFmtId="0" fontId="19" fillId="3" borderId="0" xfId="0" applyNumberFormat="1" applyFont="1" applyFill="1" applyBorder="1" applyAlignment="1">
      <x:alignment vertical="top"/>
    </x:xf>
    <x:xf numFmtId="0" fontId="19" fillId="3" borderId="0" xfId="0" applyNumberFormat="1" applyFont="1" applyFill="1" applyBorder="1" applyAlignment="1">
      <x:alignment vertical="top" wrapText="1"/>
    </x:xf>
    <x:xf numFmtId="0" fontId="18" fillId="2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top"/>
    </x:xf>
    <x:xf numFmtId="0" fontId="19" fillId="0" borderId="1" xfId="0" applyNumberFormat="1" applyFont="1" applyFill="1" applyBorder="1" applyAlignment="1">
      <x:alignment vertical="top" wrapText="1"/>
    </x:xf>
    <x:xf numFmtId="0" fontId="19" fillId="3" borderId="1" xfId="0" applyNumberFormat="1" applyFont="1" applyFill="1" applyBorder="1" applyAlignment="1">
      <x:alignment vertical="top"/>
    </x:xf>
    <x:xf numFmtId="0" fontId="19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0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4">
    <x:dxf>
      <x:font>
        <x:b/>
        <x:color rgb="FF1F5A35"/>
      </x:font>
      <x:fill>
        <x:patternFill>
          <x:bgColor rgb="FFDCEADF"/>
        </x:patternFill>
      </x:fill>
    </x:dxf>
    <x:dxf>
      <x:font>
        <x:b/>
        <x:color rgb="FF254E7B"/>
      </x:font>
      <x:fill>
        <x:patternFill>
          <x:bgColor rgb="FFDDE6F3"/>
        </x:patternFill>
      </x:fill>
    </x:dxf>
    <x:dxf>
      <x:font>
        <x:b/>
        <x:color rgb="FF7B5B16"/>
      </x:font>
      <x:fill>
        <x:patternFill>
          <x:bgColor rgb="FFF4E8C1"/>
        </x:patternFill>
      </x:fill>
    </x:dxf>
    <x:dxf>
      <x:font>
        <x:b/>
        <x:color rgb="FF8B2F2F"/>
      </x:font>
      <x:fill>
        <x:patternFill>
          <x:bgColor rgb="FFF2D6D6"/>
        </x:patternFill>
      </x:fill>
    </x:dxf>
    <x:dxf>
      <x:font>
        <x:b/>
        <x:color rgb="FF555555"/>
      </x:font>
      <x:fill>
        <x:patternFill>
          <x:bgColor rgb="FFE7E7E7"/>
        </x:patternFill>
      </x:fill>
    </x:dxf>
    <x:dxf>
      <x:font>
        <x:b/>
        <x:color rgb="FF8A4B00"/>
      </x:font>
      <x:fill>
        <x:patternFill>
          <x:bgColor rgb="FFFFE2B8"/>
        </x:patternFill>
      </x:fill>
    </x:dxf>
    <x:dxf>
      <x:font>
        <x:b/>
        <x:color rgb="FF7C2929"/>
      </x:font>
      <x:fill>
        <x:patternFill>
          <x:bgColor rgb="FFE8D6D4"/>
        </x:patternFill>
      </x:fill>
    </x:dxf>
    <x:dxf>
      <x:font>
        <x:b/>
        <x:color rgb="FF6D4A2D"/>
      </x:font>
      <x:fill>
        <x:patternFill>
          <x:bgColor rgb="FFEEE2D8"/>
        </x:patternFill>
      </x:fill>
    </x:dxf>
    <x:dxf>
      <x:font>
        <x:b/>
        <x:color rgb="FF1F5A35"/>
      </x:font>
      <x:fill>
        <x:patternFill>
          <x:bgColor rgb="FFDCEADF"/>
        </x:patternFill>
      </x:fill>
    </x:dxf>
    <x:dxf>
      <x:font>
        <x:b/>
        <x:color rgb="FF7B5B16"/>
      </x:font>
      <x:fill>
        <x:patternFill>
          <x:bgColor rgb="FFF4E8C1"/>
        </x:patternFill>
      </x:fill>
    </x:dxf>
    <x:dxf>
      <x:font>
        <x:b/>
        <x:color rgb="FF1F5A35"/>
      </x:font>
      <x:fill>
        <x:patternFill>
          <x:bgColor rgb="FFDCEADF"/>
        </x:patternFill>
      </x:fill>
    </x:dxf>
    <x:dxf>
      <x:font>
        <x:b/>
        <x:color rgb="FF1F5A35"/>
      </x:font>
      <x:fill>
        <x:patternFill>
          <x:bgColor rgb="FFDCEADF"/>
        </x:patternFill>
      </x:fill>
    </x:dxf>
    <x:dxf>
      <x:font>
        <x:b/>
        <x:color rgb="FF254E7B"/>
      </x:font>
      <x:fill>
        <x:patternFill>
          <x:bgColor rgb="FFDDE6F3"/>
        </x:patternFill>
      </x:fill>
    </x:dxf>
    <x:dxf>
      <x:font>
        <x:b/>
        <x:color rgb="FF8B2F2F"/>
      </x:font>
      <x:fill>
        <x:patternFill>
          <x:bgColor rgb="FFF2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48ea78a3840c8" /><Relationship Type="http://schemas.openxmlformats.org/officeDocument/2006/relationships/theme" Target="/xl/theme/theme1.xml" Id="Ra09fb90328c048b4" /><Relationship Type="http://schemas.openxmlformats.org/officeDocument/2006/relationships/sharedStrings" Target="/xl/sharedStrings.xml" Id="R85f95557627340dc" /><Relationship Type="http://schemas.openxmlformats.org/officeDocument/2006/relationships/worksheet" Target="/xl/worksheets/sheet1.xml" Id="R587955043c2b46ac" /><Relationship Type="http://schemas.openxmlformats.org/officeDocument/2006/relationships/worksheet" Target="/xl/worksheets/sheet2.xml" Id="R08497a010bb6444c" /><Relationship Type="http://schemas.openxmlformats.org/officeDocument/2006/relationships/worksheet" Target="/xl/worksheets/sheet3.xml" Id="Rf6693d9f59954c8c" /><Relationship Type="http://schemas.openxmlformats.org/officeDocument/2006/relationships/worksheet" Target="/xl/worksheets/sheet4.xml" Id="Rac44a2e4cdb3452c" /><Relationship Type="http://schemas.openxmlformats.org/officeDocument/2006/relationships/worksheet" Target="/xl/worksheets/sheet5.xml" Id="Rf005ae6c2cc444d5" /><Relationship Type="http://schemas.openxmlformats.org/officeDocument/2006/relationships/worksheet" Target="/xl/worksheets/sheet6.xml" Id="R021f9360bab74260" /><Relationship Type="http://schemas.openxmlformats.org/officeDocument/2006/relationships/worksheet" Target="/xl/worksheets/sheet7.xml" Id="R0aa5d3c9f48a4716" /><Relationship Type="http://schemas.openxmlformats.org/officeDocument/2006/relationships/worksheet" Target="/xl/worksheets/sheet8.xml" Id="R5049d409a05c467c" /><Relationship Type="http://schemas.openxmlformats.org/officeDocument/2006/relationships/worksheet" Target="/xl/worksheets/sheet9.xml" Id="Rb0780ad9965049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9222e4a92849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Decision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'Dashboard'!$B$17:$B$21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9222e4a92849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EMV3ApprovalRegister" displayName="GEMV3ApprovalRegister" ref="A1:S467" headerRowCount="1" totalsRowCount="0" totalsRowShown="0">
  <x:tableColumns count="19">
    <x:tableColumn id="1" name="ID"/>
    <x:tableColumn id="2" name="Section"/>
    <x:tableColumn id="3" name="Decision Class"/>
    <x:tableColumn id="4" name="Decision / Question"/>
    <x:tableColumn id="5" name="Recommended Decision"/>
    <x:tableColumn id="6" name="Response"/>
    <x:tableColumn id="7" name="Your Approval / Answer / Modification"/>
    <x:tableColumn id="8" name="Final Decision"/>
    <x:tableColumn id="9" name="Status"/>
    <x:tableColumn id="10" name="Priority"/>
    <x:tableColumn id="11" name="Owner / Approver"/>
    <x:tableColumn id="12" name="Evidence / Notes"/>
    <x:tableColumn id="13" name="Evidence Required?"/>
    <x:tableColumn id="14" name="Validation / Acceptance Criteria"/>
    <x:tableColumn id="15" name="Source Basis"/>
    <x:tableColumn id="16" name="Reference IDs"/>
    <x:tableColumn id="17" name="Source URL"/>
    <x:tableColumn id="18" name="V3.0 Chapter"/>
    <x:tableColumn id="19" name="Last Updated / Initia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eBenchmarkTable" displayName="ReferenceBenchmarkTable" ref="A6:J16" headerRowCount="1" totalsRowCount="0" totalsRowShown="0">
  <x:tableColumns count="10">
    <x:tableColumn id="1" name="Ref ID"/>
    <x:tableColumn id="2" name="Source"/>
    <x:tableColumn id="3" name="Type"/>
    <x:tableColumn id="4" name="Registered Role"/>
    <x:tableColumn id="5" name="Key Notes / What to Learn"/>
    <x:tableColumn id="6" name="Use in V3.0"/>
    <x:tableColumn id="7" name="IP / Caution"/>
    <x:tableColumn id="8" name="URL"/>
    <x:tableColumn id="9" name="Reviewed"/>
    <x:tableColumn id="10" name="Auth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EvidenceTable" displayName="ValidationEvidenceTable" ref="A4:I22" headerRowCount="1" totalsRowCount="0" totalsRowShown="0">
  <x:tableColumns count="9">
    <x:tableColumn id="1" name="Evidence ID"/>
    <x:tableColumn id="2" name="Related Decision IDs"/>
    <x:tableColumn id="3" name="Evidence / Test Required"/>
    <x:tableColumn id="4" name="Acceptance Criteria"/>
    <x:tableColumn id="5" name="Recommended Owner"/>
    <x:tableColumn id="6" name="Status"/>
    <x:tableColumn id="7" name="Evidence Reference / Link"/>
    <x:tableColumn id="8" name="Approval / Review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105c2fef7a4c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f662f0f04084b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6363f308d4c4d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46ae5ce90dc456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80" t="str">
        <x:v>Response</x:v>
      </x:c>
      <x:c r="B1" s="80" t="str">
        <x:v>Priority</x:v>
      </x:c>
      <x:c r="C1" s="80" t="str">
        <x:v>Validation Status</x:v>
      </x:c>
      <x:c r="D1" s="80" t="str">
        <x:v>Reference Type</x:v>
      </x:c>
    </x:row>
    <x:row r="2">
      <x:c r="A2" s="81" t="str">
        <x:v>Approve recommendation</x:v>
      </x:c>
      <x:c r="B2" s="81" t="str">
        <x:v>Critical</x:v>
      </x:c>
      <x:c r="C2" s="81" t="str">
        <x:v>Not started</x:v>
      </x:c>
      <x:c r="D2" s="81" t="str">
        <x:v>GEM source</x:v>
      </x:c>
    </x:row>
    <x:row r="3">
      <x:c r="A3" s="81" t="str">
        <x:v>Modify / custom answer</x:v>
      </x:c>
      <x:c r="B3" s="81" t="str">
        <x:v>High</x:v>
      </x:c>
      <x:c r="C3" s="81" t="str">
        <x:v>In progress</x:v>
      </x:c>
      <x:c r="D3" s="81" t="str">
        <x:v>Formal technical standard</x:v>
      </x:c>
    </x:row>
    <x:row r="4">
      <x:c r="A4" s="81" t="str">
        <x:v>Reject</x:v>
      </x:c>
      <x:c r="B4" s="81" t="str">
        <x:v>Medium</x:v>
      </x:c>
      <x:c r="C4" s="81" t="str">
        <x:v>Evidence received</x:v>
      </x:c>
      <x:c r="D4" s="81" t="str">
        <x:v>Curated benchmark</x:v>
      </x:c>
    </x:row>
    <x:row r="5">
      <x:c r="A5" s="81" t="str">
        <x:v>Defer</x:v>
      </x:c>
      <x:c r="B5" s="81" t="str">
        <x:v>Low</x:v>
      </x:c>
      <x:c r="C5" s="81" t="str">
        <x:v>Accepted</x:v>
      </x:c>
      <x:c r="D5" s="81" t="str">
        <x:v>Creative inspiration</x:v>
      </x:c>
    </x:row>
    <x:row r="6">
      <x:c r="A6" s="81" t="str">
        <x:v>Needs evidence</x:v>
      </x:c>
      <x:c r="B6" s="81" t="str"/>
      <x:c r="C6" s="81" t="str">
        <x:v>Rejected</x:v>
      </x:c>
      <x:c r="D6" s="81" t="str">
        <x:v>Legal / regulatory source</x:v>
      </x:c>
    </x:row>
    <x:row r="7">
      <x:c r="A7" s="81" t="str"/>
      <x:c r="B7" s="81" t="str"/>
      <x:c r="C7" s="81" t="str">
        <x:v>Deferred</x:v>
      </x:c>
      <x:c r="D7" s="81" t="str"/>
    </x:row>
    <x:row r="8">
      <x:c r="A8" s="81" t="str"/>
      <x:c r="B8" s="81" t="str"/>
      <x:c r="C8" s="81" t="str">
        <x:v>Not applicable</x:v>
      </x:c>
      <x:c r="D8" s="81" t="str"/>
    </x:row>
    <x:row r="9">
      <x:c r="A9" s="81" t="str"/>
      <x:c r="B9" s="81" t="str"/>
      <x:c r="C9" s="81" t="str"/>
      <x:c r="D9" s="81" t="str"/>
    </x:row>
    <x:row r="10">
      <x:c r="A10" s="81" t="str"/>
      <x:c r="B10" s="81" t="str"/>
      <x:c r="C10" s="81" t="str"/>
      <x:c r="D10" s="8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8" hidden="0" customWidth="1"/>
    <x:col min="4" max="4" width="45" hidden="0" customWidth="1"/>
    <x:col min="5" max="5" width="38" hidden="0" customWidth="1"/>
    <x:col min="6" max="6" width="24" hidden="0" customWidth="1"/>
    <x:col min="7" max="7" width="40" hidden="0" customWidth="1"/>
    <x:col min="8" max="8" width="34" hidden="0" customWidth="1"/>
    <x:col min="9" max="9" width="21" hidden="0" customWidth="1"/>
    <x:col min="10" max="10" width="12" hidden="0" customWidth="1"/>
    <x:col min="11" max="11" width="22" hidden="0" customWidth="1"/>
    <x:col min="12" max="12" width="36" hidden="0" customWidth="1"/>
    <x:col min="13" max="13" width="14" hidden="0" customWidth="1"/>
    <x:col min="14" max="14" width="34" hidden="0" customWidth="1"/>
    <x:col min="15" max="15" width="28" hidden="0" customWidth="1"/>
    <x:col min="16" max="16" width="20" hidden="0" customWidth="1"/>
    <x:col min="17" max="17" width="38" hidden="0" customWidth="1"/>
    <x:col min="18" max="18" width="30" hidden="0" customWidth="1"/>
    <x:col min="19" max="19" width="18" hidden="0" customWidth="1"/>
  </x:cols>
  <x:sheetData>
    <x:row r="1" ht="34" customHeight="1">
      <x:c r="A1" s="106" t="str">
        <x:v>ID</x:v>
      </x:c>
      <x:c r="B1" s="106" t="str">
        <x:v>Section</x:v>
      </x:c>
      <x:c r="C1" s="106" t="str">
        <x:v>Decision Class</x:v>
      </x:c>
      <x:c r="D1" s="106" t="str">
        <x:v>Decision / Question</x:v>
      </x:c>
      <x:c r="E1" s="106" t="str">
        <x:v>Recommended Decision</x:v>
      </x:c>
      <x:c r="F1" s="106" t="str">
        <x:v>Response</x:v>
      </x:c>
      <x:c r="G1" s="106" t="str">
        <x:v>Your Approval / Answer / Modification</x:v>
      </x:c>
      <x:c r="H1" s="106" t="str">
        <x:v>Final Decision</x:v>
      </x:c>
      <x:c r="I1" s="106" t="str">
        <x:v>Status</x:v>
      </x:c>
      <x:c r="J1" s="106" t="str">
        <x:v>Priority</x:v>
      </x:c>
      <x:c r="K1" s="106" t="str">
        <x:v>Owner / Approver</x:v>
      </x:c>
      <x:c r="L1" s="106" t="str">
        <x:v>Evidence / Notes</x:v>
      </x:c>
      <x:c r="M1" s="106" t="str">
        <x:v>Evidence Required?</x:v>
      </x:c>
      <x:c r="N1" s="106" t="str">
        <x:v>Validation / Acceptance Criteria</x:v>
      </x:c>
      <x:c r="O1" s="106" t="str">
        <x:v>Source Basis</x:v>
      </x:c>
      <x:c r="P1" s="106" t="str">
        <x:v>Reference IDs</x:v>
      </x:c>
      <x:c r="Q1" s="106" t="str">
        <x:v>Source URL</x:v>
      </x:c>
      <x:c r="R1" s="106" t="str">
        <x:v>V3.0 Chapter</x:v>
      </x:c>
      <x:c r="S1" s="106" t="str">
        <x:v>Last Updated / Initials</x:v>
      </x:c>
    </x:row>
    <x:row r="2" ht="36" customHeight="1">
      <x:c r="A2" s="107" t="str">
        <x:v>A01</x:v>
      </x:c>
      <x:c r="B2" s="107" t="str">
        <x:v>Brand ownership, authority and release</x:v>
      </x:c>
      <x:c r="C2" s="107" t="str">
        <x:v>Brand decision</x:v>
      </x:c>
      <x:c r="D2" s="108" t="str">
        <x:v>What will the final guideline be called?</x:v>
      </x:c>
      <x:c r="E2" s="108" t="str">
        <x:v>GEM™ Brand Guidelines V3.0</x:v>
      </x:c>
      <x:c r="F2" s="109" t="str">
        <x:v>Approve recommendation</x:v>
      </x:c>
      <x:c r="G2" s="110"/>
      <x:c r="H2" s="108" t="str">
        <x:f>IF(F2="Approve recommendation",E2,IF(F2="Modify / custom answer",G2,IF(F2="Reject","Rejected",IF(F2="Defer","Deferred",IF(F2="Needs evidence","Pending evidence","")))))</x:f>
        <x:v>GEM™ Brand Guidelines V3.0</x:v>
      </x:c>
      <x:c r="I2" s="107" t="str">
        <x:f>IF(F2="","Pending",IF(F2="Approve recommendation","Approved",IF(F2="Modify / custom answer",IF(G2="","Action Required","Approved with modification"),IF(F2="Reject","Rejected",IF(F2="Defer","Deferred",IF(F2="Needs evidence","Evidence Required","Pending"))))))</x:f>
        <x:v>Approved</x:v>
      </x:c>
      <x:c r="J2" s="107" t="str">
        <x:v>Critical</x:v>
      </x:c>
      <x:c r="K2" s="110" t="str">
        <x:v>Brand Owner + Asset Librarian / Governance PM</x:v>
      </x:c>
      <x:c r="L2" s="110"/>
      <x:c r="M2" s="108" t="str">
        <x:v>No</x:v>
      </x:c>
      <x:c r="N2" s="108" t="str"/>
      <x:c r="O2" s="108" t="str">
        <x:v>V2 audit + best-practice governance</x:v>
      </x:c>
      <x:c r="P2" s="108" t="str">
        <x:v>SRC-02, BEN-ALL</x:v>
      </x:c>
      <x:c r="Q2" s="108" t="str"/>
      <x:c r="R2" s="108" t="str">
        <x:v>01 — Introduction &amp; Governance</x:v>
      </x:c>
      <x:c r="S2" s="110" t="str">
        <x:v>ChatGPT prefill · 06 Oct 2026</x:v>
      </x:c>
    </x:row>
    <x:row r="3" ht="36" customHeight="1">
      <x:c r="A3" s="107" t="str">
        <x:v>A02</x:v>
      </x:c>
      <x:c r="B3" s="107" t="str">
        <x:v>Brand ownership, authority and release</x:v>
      </x:c>
      <x:c r="C3" s="107" t="str">
        <x:v>Brand decision</x:v>
      </x:c>
      <x:c r="D3" s="108" t="str">
        <x:v>Is V3.0 intended to be the first formally approved production release?</x:v>
      </x:c>
      <x:c r="E3" s="108" t="str">
        <x:v>Yes</x:v>
      </x:c>
      <x:c r="F3" s="109" t="str">
        <x:v>Approve recommendation</x:v>
      </x:c>
      <x:c r="G3" s="110"/>
      <x:c r="H3" s="108" t="str">
        <x:f>IF(F3="Approve recommendation",E3,IF(F3="Modify / custom answer",G3,IF(F3="Reject","Rejected",IF(F3="Defer","Deferred",IF(F3="Needs evidence","Pending evidence","")))))</x:f>
        <x:v>Yes</x:v>
      </x:c>
      <x:c r="I3" s="107" t="str">
        <x:f>IF(F3="","Pending",IF(F3="Approve recommendation","Approved",IF(F3="Modify / custom answer",IF(G3="","Action Required","Approved with modification"),IF(F3="Reject","Rejected",IF(F3="Defer","Deferred",IF(F3="Needs evidence","Evidence Required","Pending"))))))</x:f>
        <x:v>Approved</x:v>
      </x:c>
      <x:c r="J3" s="107" t="str">
        <x:v>Critical</x:v>
      </x:c>
      <x:c r="K3" s="110" t="str">
        <x:v>Brand Owner + Asset Librarian / Governance PM</x:v>
      </x:c>
      <x:c r="L3" s="110"/>
      <x:c r="M3" s="108" t="str">
        <x:v>No</x:v>
      </x:c>
      <x:c r="N3" s="108" t="str"/>
      <x:c r="O3" s="108" t="str">
        <x:v>V2 audit + best-practice governance</x:v>
      </x:c>
      <x:c r="P3" s="108" t="str">
        <x:v>SRC-02, BEN-ALL</x:v>
      </x:c>
      <x:c r="Q3" s="108" t="str"/>
      <x:c r="R3" s="108" t="str">
        <x:v>01 — Introduction &amp; Governance</x:v>
      </x:c>
      <x:c r="S3" s="110" t="str">
        <x:v>ChatGPT prefill · 06 Oct 2026</x:v>
      </x:c>
    </x:row>
    <x:row r="4" ht="36" customHeight="1">
      <x:c r="A4" s="107" t="str">
        <x:v>A03</x:v>
      </x:c>
      <x:c r="B4" s="107" t="str">
        <x:v>Brand ownership, authority and release</x:v>
      </x:c>
      <x:c r="C4" s="107" t="str">
        <x:v>Brand decision</x:v>
      </x:c>
      <x:c r="D4" s="108" t="str">
        <x:v>Who is the ultimate Brand Owner with final approval authority?</x:v>
      </x:c>
      <x:c r="E4" s="108" t="str">
        <x:v>Name one person / role</x:v>
      </x:c>
      <x:c r="F4" s="109" t="str">
        <x:v>Modify / custom answer</x:v>
      </x:c>
      <x:c r="G4" s="110" t="str">
        <x:v>Brand Owner — one designated executive/founder-level authority with final approval over the master brand and V3.0 release. Insert the actual name before release.</x:v>
      </x:c>
      <x:c r="H4" s="108" t="str">
        <x:f>IF(F4="Approve recommendation",E4,IF(F4="Modify / custom answer",G4,IF(F4="Reject","Rejected",IF(F4="Defer","Deferred",IF(F4="Needs evidence","Pending evidence","")))))</x:f>
        <x:v>Brand Owner — one designated executive/founder-level authority with final approval over the master brand and V3.0 release. Insert the actual name before release.</x:v>
      </x:c>
      <x:c r="I4" s="107" t="str">
        <x:f>IF(F4="","Pending",IF(F4="Approve recommendation","Approved",IF(F4="Modify / custom answer",IF(G4="","Action Required","Approved with modification"),IF(F4="Reject","Rejected",IF(F4="Defer","Deferred",IF(F4="Needs evidence","Evidence Required","Pending"))))))</x:f>
        <x:v>Approved with modification</x:v>
      </x:c>
      <x:c r="J4" s="107" t="str">
        <x:v>Critical</x:v>
      </x:c>
      <x:c r="K4" s="110" t="str">
        <x:v>Brand Owner</x:v>
      </x:c>
      <x:c r="L4" s="110" t="str">
        <x:v>Approved as the V3.0 consultant recommendation, grounded in the current GEM source system and best-practice review.</x:v>
      </x:c>
      <x:c r="M4" s="108" t="str">
        <x:v>No</x:v>
      </x:c>
      <x:c r="N4" s="108" t="str"/>
      <x:c r="O4" s="108" t="str">
        <x:v>V2 audit + best-practice governance</x:v>
      </x:c>
      <x:c r="P4" s="108" t="str">
        <x:v>SRC-02, BEN-ALL</x:v>
      </x:c>
      <x:c r="Q4" s="108" t="str"/>
      <x:c r="R4" s="108" t="str">
        <x:v>01 — Introduction &amp; Governance</x:v>
      </x:c>
      <x:c r="S4" s="110" t="str">
        <x:v>ChatGPT prefill · 06 Oct 2026</x:v>
      </x:c>
    </x:row>
    <x:row r="5" ht="36" customHeight="1">
      <x:c r="A5" s="107" t="str">
        <x:v>A04</x:v>
      </x:c>
      <x:c r="B5" s="107" t="str">
        <x:v>Brand ownership, authority and release</x:v>
      </x:c>
      <x:c r="C5" s="107" t="str">
        <x:v>Brand decision</x:v>
      </x:c>
      <x:c r="D5" s="108" t="str">
        <x:v>Who is the Design Custodian responsible for maintaining the system?</x:v>
      </x:c>
      <x:c r="E5" s="108" t="str">
        <x:v>Name one person / role</x:v>
      </x:c>
      <x:c r="F5" s="109" t="str">
        <x:v>Modify / custom answer</x:v>
      </x:c>
      <x:c r="G5" s="110" t="str">
        <x:v>Design Custodian — appointed Brand/Creative Director or senior brand lead responsible for master artwork, applications and controlled deviations. Insert the actual name before release.</x:v>
      </x:c>
      <x:c r="H5" s="108" t="str">
        <x:f>IF(F5="Approve recommendation",E5,IF(F5="Modify / custom answer",G5,IF(F5="Reject","Rejected",IF(F5="Defer","Deferred",IF(F5="Needs evidence","Pending evidence","")))))</x:f>
        <x:v>Design Custodian — appointed Brand/Creative Director or senior brand lead responsible for master artwork, applications and controlled deviations. Insert the actual name before release.</x:v>
      </x:c>
      <x:c r="I5" s="107" t="str">
        <x:f>IF(F5="","Pending",IF(F5="Approve recommendation","Approved",IF(F5="Modify / custom answer",IF(G5="","Action Required","Approved with modification"),IF(F5="Reject","Rejected",IF(F5="Defer","Deferred",IF(F5="Needs evidence","Evidence Required","Pending"))))))</x:f>
        <x:v>Approved with modification</x:v>
      </x:c>
      <x:c r="J5" s="107" t="str">
        <x:v>Critical</x:v>
      </x:c>
      <x:c r="K5" s="110" t="str">
        <x:v>Brand Owner</x:v>
      </x:c>
      <x:c r="L5" s="110" t="str">
        <x:v>Approved as the V3.0 consultant recommendation, grounded in the current GEM source system and best-practice review.</x:v>
      </x:c>
      <x:c r="M5" s="108" t="str">
        <x:v>No</x:v>
      </x:c>
      <x:c r="N5" s="108" t="str"/>
      <x:c r="O5" s="108" t="str">
        <x:v>V2 audit + best-practice governance</x:v>
      </x:c>
      <x:c r="P5" s="108" t="str">
        <x:v>SRC-02, BEN-ALL</x:v>
      </x:c>
      <x:c r="Q5" s="108" t="str"/>
      <x:c r="R5" s="108" t="str">
        <x:v>01 — Introduction &amp; Governance</x:v>
      </x:c>
      <x:c r="S5" s="110" t="str">
        <x:v>ChatGPT prefill · 06 Oct 2026</x:v>
      </x:c>
    </x:row>
    <x:row r="6" ht="36" customHeight="1">
      <x:c r="A6" s="107" t="str">
        <x:v>A05</x:v>
      </x:c>
      <x:c r="B6" s="107" t="str">
        <x:v>Brand ownership, authority and release</x:v>
      </x:c>
      <x:c r="C6" s="107" t="str">
        <x:v>Brand decision</x:v>
      </x:c>
      <x:c r="D6" s="108" t="str">
        <x:v>Who approves commercial/business claims?</x:v>
      </x:c>
      <x:c r="E6" s="108" t="str">
        <x:v>Commercial Lead + Brand Owner</x:v>
      </x:c>
      <x:c r="F6" s="109" t="str">
        <x:v>Approve recommendation</x:v>
      </x:c>
      <x:c r="G6" s="110"/>
      <x:c r="H6" s="108" t="str">
        <x:f>IF(F6="Approve recommendation",E6,IF(F6="Modify / custom answer",G6,IF(F6="Reject","Rejected",IF(F6="Defer","Deferred",IF(F6="Needs evidence","Pending evidence","")))))</x:f>
        <x:v>Commercial Lead + Brand Owner</x:v>
      </x:c>
      <x:c r="I6" s="107" t="str">
        <x:f>IF(F6="","Pending",IF(F6="Approve recommendation","Approved",IF(F6="Modify / custom answer",IF(G6="","Action Required","Approved with modification"),IF(F6="Reject","Rejected",IF(F6="Defer","Deferred",IF(F6="Needs evidence","Evidence Required","Pending"))))))</x:f>
        <x:v>Approved</x:v>
      </x:c>
      <x:c r="J6" s="107" t="str">
        <x:v>Critical</x:v>
      </x:c>
      <x:c r="K6" s="110" t="str">
        <x:v>Brand Owner + Asset Librarian / Governance PM</x:v>
      </x:c>
      <x:c r="L6" s="110"/>
      <x:c r="M6" s="108" t="str">
        <x:v>No</x:v>
      </x:c>
      <x:c r="N6" s="108" t="str"/>
      <x:c r="O6" s="108" t="str">
        <x:v>V2 audit + best-practice governance</x:v>
      </x:c>
      <x:c r="P6" s="108" t="str">
        <x:v>SRC-02, BEN-ALL</x:v>
      </x:c>
      <x:c r="Q6" s="108" t="str"/>
      <x:c r="R6" s="108" t="str">
        <x:v>01 — Introduction &amp; Governance</x:v>
      </x:c>
      <x:c r="S6" s="110" t="str">
        <x:v>ChatGPT prefill · 06 Oct 2026</x:v>
      </x:c>
    </x:row>
    <x:row r="7" ht="36" customHeight="1">
      <x:c r="A7" s="107" t="str">
        <x:v>A06</x:v>
      </x:c>
      <x:c r="B7" s="107" t="str">
        <x:v>Brand ownership, authority and release</x:v>
      </x:c>
      <x:c r="C7" s="107" t="str">
        <x:v>Brand decision</x:v>
      </x:c>
      <x:c r="D7" s="108" t="str">
        <x:v>Who approves production artwork and packaging?</x:v>
      </x:c>
      <x:c r="E7" s="108" t="str">
        <x:v>Design Custodian + Procurement/Supplier QA</x:v>
      </x:c>
      <x:c r="F7" s="109" t="str">
        <x:v>Approve recommendation</x:v>
      </x:c>
      <x:c r="G7" s="110"/>
      <x:c r="H7" s="108" t="str">
        <x:f>IF(F7="Approve recommendation",E7,IF(F7="Modify / custom answer",G7,IF(F7="Reject","Rejected",IF(F7="Defer","Deferred",IF(F7="Needs evidence","Pending evidence","")))))</x:f>
        <x:v>Design Custodian + Procurement/Supplier QA</x:v>
      </x:c>
      <x:c r="I7" s="107" t="str">
        <x:f>IF(F7="","Pending",IF(F7="Approve recommendation","Approved",IF(F7="Modify / custom answer",IF(G7="","Action Required","Approved with modification"),IF(F7="Reject","Rejected",IF(F7="Defer","Deferred",IF(F7="Needs evidence","Evidence Required","Pending"))))))</x:f>
        <x:v>Approved</x:v>
      </x:c>
      <x:c r="J7" s="107" t="str">
        <x:v>Critical</x:v>
      </x:c>
      <x:c r="K7" s="110" t="str">
        <x:v>Brand Owner + Asset Librarian / Governance PM</x:v>
      </x:c>
      <x:c r="L7" s="110"/>
      <x:c r="M7" s="108" t="str">
        <x:v>Yes</x:v>
      </x:c>
      <x:c r="N7" s="108" t="str"/>
      <x:c r="O7" s="108" t="str">
        <x:v>V2 audit + best-practice governance</x:v>
      </x:c>
      <x:c r="P7" s="108" t="str">
        <x:v>SRC-02, BEN-ALL</x:v>
      </x:c>
      <x:c r="Q7" s="108" t="str"/>
      <x:c r="R7" s="108" t="str">
        <x:v>01 — Introduction &amp; Governance</x:v>
      </x:c>
      <x:c r="S7" s="110" t="str">
        <x:v>ChatGPT prefill · 06 Oct 2026</x:v>
      </x:c>
    </x:row>
    <x:row r="8" ht="36" customHeight="1">
      <x:c r="A8" s="107" t="str">
        <x:v>A07</x:v>
      </x:c>
      <x:c r="B8" s="107" t="str">
        <x:v>Brand ownership, authority and release</x:v>
      </x:c>
      <x:c r="C8" s="107" t="str">
        <x:v>Brand decision</x:v>
      </x:c>
      <x:c r="D8" s="108" t="str">
        <x:v>Who approves Arabic/localized brand content?</x:v>
      </x:c>
      <x:c r="E8" s="108" t="str">
        <x:v>Arabic/Localization Lead + Brand Owner</x:v>
      </x:c>
      <x:c r="F8" s="109" t="str">
        <x:v>Approve recommendation</x:v>
      </x:c>
      <x:c r="G8" s="110"/>
      <x:c r="H8" s="108" t="str">
        <x:f>IF(F8="Approve recommendation",E8,IF(F8="Modify / custom answer",G8,IF(F8="Reject","Rejected",IF(F8="Defer","Deferred",IF(F8="Needs evidence","Pending evidence","")))))</x:f>
        <x:v>Arabic/Localization Lead + Brand Owner</x:v>
      </x:c>
      <x:c r="I8" s="107" t="str">
        <x:f>IF(F8="","Pending",IF(F8="Approve recommendation","Approved",IF(F8="Modify / custom answer",IF(G8="","Action Required","Approved with modification"),IF(F8="Reject","Rejected",IF(F8="Defer","Deferred",IF(F8="Needs evidence","Evidence Required","Pending"))))))</x:f>
        <x:v>Approved</x:v>
      </x:c>
      <x:c r="J8" s="107" t="str">
        <x:v>Critical</x:v>
      </x:c>
      <x:c r="K8" s="110" t="str">
        <x:v>Brand Owner + Asset Librarian / Governance PM</x:v>
      </x:c>
      <x:c r="L8" s="110"/>
      <x:c r="M8" s="108" t="str">
        <x:v>No</x:v>
      </x:c>
      <x:c r="N8" s="108" t="str"/>
      <x:c r="O8" s="108" t="str">
        <x:v>V2 audit + best-practice governance</x:v>
      </x:c>
      <x:c r="P8" s="108" t="str">
        <x:v>SRC-02, BEN-ALL</x:v>
      </x:c>
      <x:c r="Q8" s="108" t="str"/>
      <x:c r="R8" s="108" t="str">
        <x:v>01 — Introduction &amp; Governance</x:v>
      </x:c>
      <x:c r="S8" s="110" t="str">
        <x:v>ChatGPT prefill · 06 Oct 2026</x:v>
      </x:c>
    </x:row>
    <x:row r="9" ht="36" customHeight="1">
      <x:c r="A9" s="107" t="str">
        <x:v>A08</x:v>
      </x:c>
      <x:c r="B9" s="107" t="str">
        <x:v>Brand ownership, authority and release</x:v>
      </x:c>
      <x:c r="C9" s="107" t="str">
        <x:v>Brand decision</x:v>
      </x:c>
      <x:c r="D9" s="108" t="str">
        <x:v>Who approves accessibility exceptions, if any?</x:v>
      </x:c>
      <x:c r="E9" s="108" t="str">
        <x:v>Accessibility QA + Brand Owner</x:v>
      </x:c>
      <x:c r="F9" s="109" t="str">
        <x:v>Approve recommendation</x:v>
      </x:c>
      <x:c r="G9" s="110"/>
      <x:c r="H9" s="108" t="str">
        <x:f>IF(F9="Approve recommendation",E9,IF(F9="Modify / custom answer",G9,IF(F9="Reject","Rejected",IF(F9="Defer","Deferred",IF(F9="Needs evidence","Pending evidence","")))))</x:f>
        <x:v>Accessibility QA + Brand Owner</x:v>
      </x:c>
      <x:c r="I9" s="107" t="str">
        <x:f>IF(F9="","Pending",IF(F9="Approve recommendation","Approved",IF(F9="Modify / custom answer",IF(G9="","Action Required","Approved with modification"),IF(F9="Reject","Rejected",IF(F9="Defer","Deferred",IF(F9="Needs evidence","Evidence Required","Pending"))))))</x:f>
        <x:v>Approved</x:v>
      </x:c>
      <x:c r="J9" s="107" t="str">
        <x:v>Critical</x:v>
      </x:c>
      <x:c r="K9" s="110" t="str">
        <x:v>Brand Owner + Asset Librarian / Governance PM</x:v>
      </x:c>
      <x:c r="L9" s="110"/>
      <x:c r="M9" s="108" t="str">
        <x:v>Yes</x:v>
      </x:c>
      <x:c r="N9" s="108" t="str"/>
      <x:c r="O9" s="108" t="str">
        <x:v>V2 audit + best-practice governance</x:v>
      </x:c>
      <x:c r="P9" s="108" t="str">
        <x:v>SRC-02, BEN-ALL</x:v>
      </x:c>
      <x:c r="Q9" s="108" t="str"/>
      <x:c r="R9" s="108" t="str">
        <x:v>01 — Introduction &amp; Governance</x:v>
      </x:c>
      <x:c r="S9" s="110" t="str">
        <x:v>ChatGPT prefill · 06 Oct 2026</x:v>
      </x:c>
    </x:row>
    <x:row r="10" ht="36" customHeight="1">
      <x:c r="A10" s="107" t="str">
        <x:v>A09</x:v>
      </x:c>
      <x:c r="B10" s="107" t="str">
        <x:v>Brand ownership, authority and release</x:v>
      </x:c>
      <x:c r="C10" s="107" t="str">
        <x:v>Brand decision</x:v>
      </x:c>
      <x:c r="D10" s="108" t="str">
        <x:v>Can anyone other than the Brand Owner approve permanent changes to the identity?</x:v>
      </x:c>
      <x:c r="E10" s="108" t="str">
        <x:v>No</x:v>
      </x:c>
      <x:c r="F10" s="109" t="str">
        <x:v>Approve recommendation</x:v>
      </x:c>
      <x:c r="G10" s="110"/>
      <x:c r="H10" s="108" t="str">
        <x:f>IF(F10="Approve recommendation",E10,IF(F10="Modify / custom answer",G10,IF(F10="Reject","Rejected",IF(F10="Defer","Deferred",IF(F10="Needs evidence","Pending evidence","")))))</x:f>
        <x:v>No</x:v>
      </x:c>
      <x:c r="I10" s="107" t="str">
        <x:f>IF(F10="","Pending",IF(F10="Approve recommendation","Approved",IF(F10="Modify / custom answer",IF(G10="","Action Required","Approved with modification"),IF(F10="Reject","Rejected",IF(F10="Defer","Deferred",IF(F10="Needs evidence","Evidence Required","Pending"))))))</x:f>
        <x:v>Approved</x:v>
      </x:c>
      <x:c r="J10" s="107" t="str">
        <x:v>Critical</x:v>
      </x:c>
      <x:c r="K10" s="110" t="str">
        <x:v>Brand Owner + Asset Librarian / Governance PM</x:v>
      </x:c>
      <x:c r="L10" s="110"/>
      <x:c r="M10" s="108" t="str">
        <x:v>No</x:v>
      </x:c>
      <x:c r="N10" s="108" t="str"/>
      <x:c r="O10" s="108" t="str">
        <x:v>V2 audit + best-practice governance</x:v>
      </x:c>
      <x:c r="P10" s="108" t="str">
        <x:v>SRC-02, BEN-ALL</x:v>
      </x:c>
      <x:c r="Q10" s="108" t="str"/>
      <x:c r="R10" s="108" t="str">
        <x:v>01 — Introduction &amp; Governance</x:v>
      </x:c>
      <x:c r="S10" s="110" t="str">
        <x:v>ChatGPT prefill · 06 Oct 2026</x:v>
      </x:c>
    </x:row>
    <x:row r="11" ht="36" customHeight="1">
      <x:c r="A11" s="107" t="str">
        <x:v>A10</x:v>
      </x:c>
      <x:c r="B11" s="107" t="str">
        <x:v>Brand ownership, authority and release</x:v>
      </x:c>
      <x:c r="C11" s="107" t="str">
        <x:v>Brand decision</x:v>
      </x:c>
      <x:c r="D11" s="108" t="str">
        <x:v>Should deviations from V3.0 require written approval?</x:v>
      </x:c>
      <x:c r="E11" s="108" t="str">
        <x:v>Yes</x:v>
      </x:c>
      <x:c r="F11" s="109" t="str">
        <x:v>Approve recommendation</x:v>
      </x:c>
      <x:c r="G11" s="110"/>
      <x:c r="H11" s="108" t="str">
        <x:f>IF(F11="Approve recommendation",E11,IF(F11="Modify / custom answer",G11,IF(F11="Reject","Rejected",IF(F11="Defer","Deferred",IF(F11="Needs evidence","Pending evidence","")))))</x:f>
        <x:v>Yes</x:v>
      </x:c>
      <x:c r="I11" s="107" t="str">
        <x:f>IF(F11="","Pending",IF(F11="Approve recommendation","Approved",IF(F11="Modify / custom answer",IF(G11="","Action Required","Approved with modification"),IF(F11="Reject","Rejected",IF(F11="Defer","Deferred",IF(F11="Needs evidence","Evidence Required","Pending"))))))</x:f>
        <x:v>Approved</x:v>
      </x:c>
      <x:c r="J11" s="107" t="str">
        <x:v>Critical</x:v>
      </x:c>
      <x:c r="K11" s="110" t="str">
        <x:v>Brand Owner + Asset Librarian / Governance PM</x:v>
      </x:c>
      <x:c r="L11" s="110"/>
      <x:c r="M11" s="108" t="str">
        <x:v>No</x:v>
      </x:c>
      <x:c r="N11" s="108" t="str"/>
      <x:c r="O11" s="108" t="str">
        <x:v>V2 audit + best-practice governance</x:v>
      </x:c>
      <x:c r="P11" s="108" t="str">
        <x:v>SRC-02, BEN-ALL</x:v>
      </x:c>
      <x:c r="Q11" s="108" t="str"/>
      <x:c r="R11" s="108" t="str">
        <x:v>01 — Introduction &amp; Governance</x:v>
      </x:c>
      <x:c r="S11" s="110" t="str">
        <x:v>ChatGPT prefill · 06 Oct 2026</x:v>
      </x:c>
    </x:row>
    <x:row r="12" ht="36" customHeight="1">
      <x:c r="A12" s="107" t="str">
        <x:v>A11</x:v>
      </x:c>
      <x:c r="B12" s="107" t="str">
        <x:v>Brand ownership, authority and release</x:v>
      </x:c>
      <x:c r="C12" s="107" t="str">
        <x:v>Brand decision</x:v>
      </x:c>
      <x:c r="D12" s="108" t="str">
        <x:v>Should every released asset carry version/status information?</x:v>
      </x:c>
      <x:c r="E12" s="108" t="str">
        <x:v>Yes</x:v>
      </x:c>
      <x:c r="F12" s="109" t="str">
        <x:v>Approve recommendation</x:v>
      </x:c>
      <x:c r="G12" s="110"/>
      <x:c r="H12" s="108" t="str">
        <x:f>IF(F12="Approve recommendation",E12,IF(F12="Modify / custom answer",G12,IF(F12="Reject","Rejected",IF(F12="Defer","Deferred",IF(F12="Needs evidence","Pending evidence","")))))</x:f>
        <x:v>Yes</x:v>
      </x:c>
      <x:c r="I12" s="107" t="str">
        <x:f>IF(F12="","Pending",IF(F12="Approve recommendation","Approved",IF(F12="Modify / custom answer",IF(G12="","Action Required","Approved with modification"),IF(F12="Reject","Rejected",IF(F12="Defer","Deferred",IF(F12="Needs evidence","Evidence Required","Pending"))))))</x:f>
        <x:v>Approved</x:v>
      </x:c>
      <x:c r="J12" s="107" t="str">
        <x:v>Critical</x:v>
      </x:c>
      <x:c r="K12" s="110" t="str">
        <x:v>Brand Owner + Asset Librarian / Governance PM</x:v>
      </x:c>
      <x:c r="L12" s="110"/>
      <x:c r="M12" s="108" t="str">
        <x:v>No</x:v>
      </x:c>
      <x:c r="N12" s="108" t="str"/>
      <x:c r="O12" s="108" t="str">
        <x:v>V2 audit + best-practice governance</x:v>
      </x:c>
      <x:c r="P12" s="108" t="str">
        <x:v>SRC-02, BEN-ALL</x:v>
      </x:c>
      <x:c r="Q12" s="108" t="str"/>
      <x:c r="R12" s="108" t="str">
        <x:v>01 — Introduction &amp; Governance</x:v>
      </x:c>
      <x:c r="S12" s="110" t="str">
        <x:v>ChatGPT prefill · 06 Oct 2026</x:v>
      </x:c>
    </x:row>
    <x:row r="13" ht="36" customHeight="1">
      <x:c r="A13" s="107" t="str">
        <x:v>A12</x:v>
      </x:c>
      <x:c r="B13" s="107" t="str">
        <x:v>Brand ownership, authority and release</x:v>
      </x:c>
      <x:c r="C13" s="107" t="str">
        <x:v>Brand decision</x:v>
      </x:c>
      <x:c r="D13" s="108" t="str">
        <x:v>Should old/superseded assets remain available in a controlled archive?</x:v>
      </x:c>
      <x:c r="E13" s="108" t="str">
        <x:v>Yes — clearly marked Superseded</x:v>
      </x:c>
      <x:c r="F13" s="109" t="str">
        <x:v>Approve recommendation</x:v>
      </x:c>
      <x:c r="G13" s="110"/>
      <x:c r="H13" s="108" t="str">
        <x:f>IF(F13="Approve recommendation",E13,IF(F13="Modify / custom answer",G13,IF(F13="Reject","Rejected",IF(F13="Defer","Deferred",IF(F13="Needs evidence","Pending evidence","")))))</x:f>
        <x:v>Yes — clearly marked Superseded</x:v>
      </x:c>
      <x:c r="I13" s="107" t="str">
        <x:f>IF(F13="","Pending",IF(F13="Approve recommendation","Approved",IF(F13="Modify / custom answer",IF(G13="","Action Required","Approved with modification"),IF(F13="Reject","Rejected",IF(F13="Defer","Deferred",IF(F13="Needs evidence","Evidence Required","Pending"))))))</x:f>
        <x:v>Approved</x:v>
      </x:c>
      <x:c r="J13" s="107" t="str">
        <x:v>Critical</x:v>
      </x:c>
      <x:c r="K13" s="110" t="str">
        <x:v>Brand Owner + Asset Librarian / Governance PM</x:v>
      </x:c>
      <x:c r="L13" s="110"/>
      <x:c r="M13" s="108" t="str">
        <x:v>No</x:v>
      </x:c>
      <x:c r="N13" s="108" t="str"/>
      <x:c r="O13" s="108" t="str">
        <x:v>V2 audit + best-practice governance</x:v>
      </x:c>
      <x:c r="P13" s="108" t="str">
        <x:v>SRC-02, BEN-ALL</x:v>
      </x:c>
      <x:c r="Q13" s="108" t="str"/>
      <x:c r="R13" s="108" t="str">
        <x:v>01 — Introduction &amp; Governance</x:v>
      </x:c>
      <x:c r="S13" s="110" t="str">
        <x:v>ChatGPT prefill · 06 Oct 2026</x:v>
      </x:c>
    </x:row>
    <x:row r="14" ht="36" customHeight="1">
      <x:c r="A14" s="107" t="str">
        <x:v>B01</x:v>
      </x:c>
      <x:c r="B14" s="107" t="str">
        <x:v>Core brand definition</x:v>
      </x:c>
      <x:c r="C14" s="107" t="str">
        <x:v>Brand decision</x:v>
      </x:c>
      <x:c r="D14" s="108" t="str">
        <x:v>Is GEM™ the final master brand name?</x:v>
      </x:c>
      <x:c r="E14" s="108" t="str">
        <x:v>Yes</x:v>
      </x:c>
      <x:c r="F14" s="109" t="str">
        <x:v>Approve recommendation</x:v>
      </x:c>
      <x:c r="G14" s="110"/>
      <x:c r="H14" s="108" t="str">
        <x:f>IF(F14="Approve recommendation",E14,IF(F14="Modify / custom answer",G14,IF(F14="Reject","Rejected",IF(F14="Defer","Deferred",IF(F14="Needs evidence","Pending evidence","")))))</x:f>
        <x:v>Yes</x:v>
      </x:c>
      <x:c r="I14" s="107" t="str">
        <x:f>IF(F14="","Pending",IF(F14="Approve recommendation","Approved",IF(F14="Modify / custom answer",IF(G14="","Action Required","Approved with modification"),IF(F14="Reject","Rejected",IF(F14="Defer","Deferred",IF(F14="Needs evidence","Evidence Required","Pending"))))))</x:f>
        <x:v>Approved</x:v>
      </x:c>
      <x:c r="J14" s="107" t="str">
        <x:v>Critical</x:v>
      </x:c>
      <x:c r="K14" s="110" t="str">
        <x:v>Brand Owner + Design Custodian</x:v>
      </x:c>
      <x:c r="L14" s="110"/>
      <x:c r="M14" s="108" t="str">
        <x:v>No</x:v>
      </x:c>
      <x:c r="N14" s="108" t="str"/>
      <x:c r="O14" s="108" t="str">
        <x:v>V2 guideline</x:v>
      </x:c>
      <x:c r="P14" s="108" t="str">
        <x:v>SRC-01</x:v>
      </x:c>
      <x:c r="Q14" s="108" t="str"/>
      <x:c r="R14" s="108" t="str">
        <x:v>02 — Brand Strategy</x:v>
      </x:c>
      <x:c r="S14" s="110" t="str">
        <x:v>ChatGPT prefill · 06 Oct 2026</x:v>
      </x:c>
    </x:row>
    <x:row r="15" ht="36" customHeight="1">
      <x:c r="A15" s="107" t="str">
        <x:v>B02</x:v>
      </x:c>
      <x:c r="B15" s="107" t="str">
        <x:v>Core brand definition</x:v>
      </x:c>
      <x:c r="C15" s="107" t="str">
        <x:v>Brand decision</x:v>
      </x:c>
      <x:c r="D15" s="108" t="str">
        <x:v>Should the trademark symbol ™ remain part of the official wordmark/artwork?</x:v>
      </x:c>
      <x:c r="E15" s="108" t="str">
        <x:v>Yes, exactly as drawn</x:v>
      </x:c>
      <x:c r="F15" s="109" t="str">
        <x:v>Approve recommendation</x:v>
      </x:c>
      <x:c r="G15" s="110"/>
      <x:c r="H15" s="108" t="str">
        <x:f>IF(F15="Approve recommendation",E15,IF(F15="Modify / custom answer",G15,IF(F15="Reject","Rejected",IF(F15="Defer","Deferred",IF(F15="Needs evidence","Pending evidence","")))))</x:f>
        <x:v>Yes, exactly as drawn</x:v>
      </x:c>
      <x:c r="I15" s="107" t="str">
        <x:f>IF(F15="","Pending",IF(F15="Approve recommendation","Approved",IF(F15="Modify / custom answer",IF(G15="","Action Required","Approved with modification"),IF(F15="Reject","Rejected",IF(F15="Defer","Deferred",IF(F15="Needs evidence","Evidence Required","Pending"))))))</x:f>
        <x:v>Approved</x:v>
      </x:c>
      <x:c r="J15" s="107" t="str">
        <x:v>Critical</x:v>
      </x:c>
      <x:c r="K15" s="110" t="str">
        <x:v>Brand Owner + Design Custodian</x:v>
      </x:c>
      <x:c r="L15" s="110"/>
      <x:c r="M15" s="108" t="str">
        <x:v>Yes</x:v>
      </x:c>
      <x:c r="N15" s="108" t="str"/>
      <x:c r="O15" s="108" t="str">
        <x:v>V2 guideline</x:v>
      </x:c>
      <x:c r="P15" s="108" t="str">
        <x:v>SRC-01</x:v>
      </x:c>
      <x:c r="Q15" s="108" t="str"/>
      <x:c r="R15" s="108" t="str">
        <x:v>02 — Brand Strategy</x:v>
      </x:c>
      <x:c r="S15" s="110" t="str">
        <x:v>ChatGPT prefill · 06 Oct 2026</x:v>
      </x:c>
    </x:row>
    <x:row r="16" ht="36" customHeight="1">
      <x:c r="A16" s="107" t="str">
        <x:v>B03</x:v>
      </x:c>
      <x:c r="B16" s="107" t="str">
        <x:v>Core brand definition</x:v>
      </x:c>
      <x:c r="C16" s="107" t="str">
        <x:v>Brand decision</x:v>
      </x:c>
      <x:c r="D16" s="108" t="str">
        <x:v>Is the core brand idea “Every arrival, precisely composed.” approved?</x:v>
      </x:c>
      <x:c r="E16" s="108" t="str">
        <x:v>Yes</x:v>
      </x:c>
      <x:c r="F16" s="109" t="str">
        <x:v>Approve recommendation</x:v>
      </x:c>
      <x:c r="G16" s="110"/>
      <x:c r="H16" s="108" t="str">
        <x:f>IF(F16="Approve recommendation",E16,IF(F16="Modify / custom answer",G16,IF(F16="Reject","Rejected",IF(F16="Defer","Deferred",IF(F16="Needs evidence","Pending evidence","")))))</x:f>
        <x:v>Yes</x:v>
      </x:c>
      <x:c r="I16" s="107" t="str">
        <x:f>IF(F16="","Pending",IF(F16="Approve recommendation","Approved",IF(F16="Modify / custom answer",IF(G16="","Action Required","Approved with modification"),IF(F16="Reject","Rejected",IF(F16="Defer","Deferred",IF(F16="Needs evidence","Evidence Required","Pending"))))))</x:f>
        <x:v>Approved</x:v>
      </x:c>
      <x:c r="J16" s="107" t="str">
        <x:v>Critical</x:v>
      </x:c>
      <x:c r="K16" s="110" t="str">
        <x:v>Brand Owner + Design Custodian</x:v>
      </x:c>
      <x:c r="L16" s="110"/>
      <x:c r="M16" s="108" t="str">
        <x:v>No</x:v>
      </x:c>
      <x:c r="N16" s="108" t="str"/>
      <x:c r="O16" s="108" t="str">
        <x:v>V2 guideline</x:v>
      </x:c>
      <x:c r="P16" s="108" t="str">
        <x:v>SRC-01</x:v>
      </x:c>
      <x:c r="Q16" s="108" t="str"/>
      <x:c r="R16" s="108" t="str">
        <x:v>02 — Brand Strategy</x:v>
      </x:c>
      <x:c r="S16" s="110" t="str">
        <x:v>ChatGPT prefill · 06 Oct 2026</x:v>
      </x:c>
    </x:row>
    <x:row r="17" ht="36" customHeight="1">
      <x:c r="A17" s="107" t="str">
        <x:v>B04</x:v>
      </x:c>
      <x:c r="B17" s="107" t="str">
        <x:v>Core brand definition</x:v>
      </x:c>
      <x:c r="C17" s="107" t="str">
        <x:v>Brand decision</x:v>
      </x:c>
      <x:c r="D17" s="108" t="str">
        <x:v>Is the primary tagline “HOSPITALITY, IN PERFECT PROPORTION” approved permanently?</x:v>
      </x:c>
      <x:c r="E17" s="108" t="str">
        <x:v>Yes</x:v>
      </x:c>
      <x:c r="F17" s="109" t="str">
        <x:v>Approve recommendation</x:v>
      </x:c>
      <x:c r="G17" s="110"/>
      <x:c r="H17" s="108" t="str">
        <x:f>IF(F17="Approve recommendation",E17,IF(F17="Modify / custom answer",G17,IF(F17="Reject","Rejected",IF(F17="Defer","Deferred",IF(F17="Needs evidence","Pending evidence","")))))</x:f>
        <x:v>Yes</x:v>
      </x:c>
      <x:c r="I17" s="107" t="str">
        <x:f>IF(F17="","Pending",IF(F17="Approve recommendation","Approved",IF(F17="Modify / custom answer",IF(G17="","Action Required","Approved with modification"),IF(F17="Reject","Rejected",IF(F17="Defer","Deferred",IF(F17="Needs evidence","Evidence Required","Pending"))))))</x:f>
        <x:v>Approved</x:v>
      </x:c>
      <x:c r="J17" s="107" t="str">
        <x:v>Critical</x:v>
      </x:c>
      <x:c r="K17" s="110" t="str">
        <x:v>Brand Owner + Design Custodian</x:v>
      </x:c>
      <x:c r="L17" s="110"/>
      <x:c r="M17" s="108" t="str">
        <x:v>No</x:v>
      </x:c>
      <x:c r="N17" s="108" t="str"/>
      <x:c r="O17" s="108" t="str">
        <x:v>V2 guideline</x:v>
      </x:c>
      <x:c r="P17" s="108" t="str">
        <x:v>SRC-01</x:v>
      </x:c>
      <x:c r="Q17" s="108" t="str"/>
      <x:c r="R17" s="108" t="str">
        <x:v>02 — Brand Strategy</x:v>
      </x:c>
      <x:c r="S17" s="110" t="str">
        <x:v>ChatGPT prefill · 06 Oct 2026</x:v>
      </x:c>
    </x:row>
    <x:row r="18" ht="36" customHeight="1">
      <x:c r="A18" s="107" t="str">
        <x:v>B05</x:v>
      </x:c>
      <x:c r="B18" s="107" t="str">
        <x:v>Core brand definition</x:v>
      </x:c>
      <x:c r="C18" s="107" t="str">
        <x:v>Brand decision</x:v>
      </x:c>
      <x:c r="D18" s="108" t="str">
        <x:v>May the primary tagline be rewritten?</x:v>
      </x:c>
      <x:c r="E18" s="108" t="str">
        <x:v>No</x:v>
      </x:c>
      <x:c r="F18" s="109" t="str">
        <x:v>Approve recommendation</x:v>
      </x:c>
      <x:c r="G18" s="110"/>
      <x:c r="H18" s="108" t="str">
        <x:f>IF(F18="Approve recommendation",E18,IF(F18="Modify / custom answer",G18,IF(F18="Reject","Rejected",IF(F18="Defer","Deferred",IF(F18="Needs evidence","Pending evidence","")))))</x:f>
        <x:v>No</x:v>
      </x:c>
      <x:c r="I18" s="107" t="str">
        <x:f>IF(F18="","Pending",IF(F18="Approve recommendation","Approved",IF(F18="Modify / custom answer",IF(G18="","Action Required","Approved with modification"),IF(F18="Reject","Rejected",IF(F18="Defer","Deferred",IF(F18="Needs evidence","Evidence Required","Pending"))))))</x:f>
        <x:v>Approved</x:v>
      </x:c>
      <x:c r="J18" s="107" t="str">
        <x:v>Critical</x:v>
      </x:c>
      <x:c r="K18" s="110" t="str">
        <x:v>Brand Owner + Design Custodian</x:v>
      </x:c>
      <x:c r="L18" s="110"/>
      <x:c r="M18" s="108" t="str">
        <x:v>No</x:v>
      </x:c>
      <x:c r="N18" s="108" t="str"/>
      <x:c r="O18" s="108" t="str">
        <x:v>V2 guideline</x:v>
      </x:c>
      <x:c r="P18" s="108" t="str">
        <x:v>SRC-01</x:v>
      </x:c>
      <x:c r="Q18" s="108" t="str"/>
      <x:c r="R18" s="108" t="str">
        <x:v>02 — Brand Strategy</x:v>
      </x:c>
      <x:c r="S18" s="110" t="str">
        <x:v>ChatGPT prefill · 06 Oct 2026</x:v>
      </x:c>
    </x:row>
    <x:row r="19" ht="36" customHeight="1">
      <x:c r="A19" s="107" t="str">
        <x:v>B06</x:v>
      </x:c>
      <x:c r="B19" s="107" t="str">
        <x:v>Core brand definition</x:v>
      </x:c>
      <x:c r="C19" s="107" t="str">
        <x:v>Brand decision</x:v>
      </x:c>
      <x:c r="D19" s="108" t="str">
        <x:v>May the primary tagline be abbreviated?</x:v>
      </x:c>
      <x:c r="E19" s="108" t="str">
        <x:v>No</x:v>
      </x:c>
      <x:c r="F19" s="109" t="str">
        <x:v>Approve recommendation</x:v>
      </x:c>
      <x:c r="G19" s="110"/>
      <x:c r="H19" s="108" t="str">
        <x:f>IF(F19="Approve recommendation",E19,IF(F19="Modify / custom answer",G19,IF(F19="Reject","Rejected",IF(F19="Defer","Deferred",IF(F19="Needs evidence","Pending evidence","")))))</x:f>
        <x:v>No</x:v>
      </x:c>
      <x:c r="I19" s="107" t="str">
        <x:f>IF(F19="","Pending",IF(F19="Approve recommendation","Approved",IF(F19="Modify / custom answer",IF(G19="","Action Required","Approved with modification"),IF(F19="Reject","Rejected",IF(F19="Defer","Deferred",IF(F19="Needs evidence","Evidence Required","Pending"))))))</x:f>
        <x:v>Approved</x:v>
      </x:c>
      <x:c r="J19" s="107" t="str">
        <x:v>Critical</x:v>
      </x:c>
      <x:c r="K19" s="110" t="str">
        <x:v>Brand Owner + Design Custodian</x:v>
      </x:c>
      <x:c r="L19" s="110"/>
      <x:c r="M19" s="108" t="str">
        <x:v>No</x:v>
      </x:c>
      <x:c r="N19" s="108" t="str"/>
      <x:c r="O19" s="108" t="str">
        <x:v>V2 guideline</x:v>
      </x:c>
      <x:c r="P19" s="108" t="str">
        <x:v>SRC-01</x:v>
      </x:c>
      <x:c r="Q19" s="108" t="str"/>
      <x:c r="R19" s="108" t="str">
        <x:v>02 — Brand Strategy</x:v>
      </x:c>
      <x:c r="S19" s="110" t="str">
        <x:v>ChatGPT prefill · 06 Oct 2026</x:v>
      </x:c>
    </x:row>
    <x:row r="20" ht="36" customHeight="1">
      <x:c r="A20" s="107" t="str">
        <x:v>B07</x:v>
      </x:c>
      <x:c r="B20" s="107" t="str">
        <x:v>Core brand definition</x:v>
      </x:c>
      <x:c r="C20" s="107" t="str">
        <x:v>Brand decision</x:v>
      </x:c>
      <x:c r="D20" s="108" t="str">
        <x:v>May the tagline be translated automatically into Arabic?</x:v>
      </x:c>
      <x:c r="E20" s="108" t="str">
        <x:v>No — only after formal Arabic approval</x:v>
      </x:c>
      <x:c r="F20" s="109" t="str">
        <x:v>Approve recommendation</x:v>
      </x:c>
      <x:c r="G20" s="110"/>
      <x:c r="H20" s="108" t="str">
        <x:f>IF(F20="Approve recommendation",E20,IF(F20="Modify / custom answer",G20,IF(F20="Reject","Rejected",IF(F20="Defer","Deferred",IF(F20="Needs evidence","Pending evidence","")))))</x:f>
        <x:v>No — only after formal Arabic approval</x:v>
      </x:c>
      <x:c r="I20" s="107" t="str">
        <x:f>IF(F20="","Pending",IF(F20="Approve recommendation","Approved",IF(F20="Modify / custom answer",IF(G20="","Action Required","Approved with modification"),IF(F20="Reject","Rejected",IF(F20="Defer","Deferred",IF(F20="Needs evidence","Evidence Required","Pending"))))))</x:f>
        <x:v>Approved</x:v>
      </x:c>
      <x:c r="J20" s="107" t="str">
        <x:v>Critical</x:v>
      </x:c>
      <x:c r="K20" s="110" t="str">
        <x:v>Brand Owner + Design Custodian</x:v>
      </x:c>
      <x:c r="L20" s="110"/>
      <x:c r="M20" s="108" t="str">
        <x:v>No</x:v>
      </x:c>
      <x:c r="N20" s="108" t="str"/>
      <x:c r="O20" s="108" t="str">
        <x:v>V2 guideline</x:v>
      </x:c>
      <x:c r="P20" s="108" t="str">
        <x:v>SRC-01</x:v>
      </x:c>
      <x:c r="Q20" s="108" t="str"/>
      <x:c r="R20" s="108" t="str">
        <x:v>02 — Brand Strategy</x:v>
      </x:c>
      <x:c r="S20" s="110" t="str">
        <x:v>ChatGPT prefill · 06 Oct 2026</x:v>
      </x:c>
    </x:row>
    <x:row r="21" ht="36" customHeight="1">
      <x:c r="A21" s="107" t="str">
        <x:v>B08</x:v>
      </x:c>
      <x:c r="B21" s="107" t="str">
        <x:v>Core brand definition</x:v>
      </x:c>
      <x:c r="C21" s="107" t="str">
        <x:v>Brand decision</x:v>
      </x:c>
      <x:c r="D21" s="108" t="str">
        <x:v>Should “Every arrival, precisely composed.” remain a secondary editorial expression rather than a permanent logo lockup?</x:v>
      </x:c>
      <x:c r="E21" s="108" t="str">
        <x:v>Yes</x:v>
      </x:c>
      <x:c r="F21" s="109" t="str">
        <x:v>Approve recommendation</x:v>
      </x:c>
      <x:c r="G21" s="110"/>
      <x:c r="H21" s="108" t="str">
        <x:f>IF(F21="Approve recommendation",E21,IF(F21="Modify / custom answer",G21,IF(F21="Reject","Rejected",IF(F21="Defer","Deferred",IF(F21="Needs evidence","Pending evidence","")))))</x:f>
        <x:v>Yes</x:v>
      </x:c>
      <x:c r="I21" s="107" t="str">
        <x:f>IF(F21="","Pending",IF(F21="Approve recommendation","Approved",IF(F21="Modify / custom answer",IF(G21="","Action Required","Approved with modification"),IF(F21="Reject","Rejected",IF(F21="Defer","Deferred",IF(F21="Needs evidence","Evidence Required","Pending"))))))</x:f>
        <x:v>Approved</x:v>
      </x:c>
      <x:c r="J21" s="107" t="str">
        <x:v>Critical</x:v>
      </x:c>
      <x:c r="K21" s="110" t="str">
        <x:v>Brand Owner + Design Custodian</x:v>
      </x:c>
      <x:c r="L21" s="110"/>
      <x:c r="M21" s="108" t="str">
        <x:v>No</x:v>
      </x:c>
      <x:c r="N21" s="108" t="str"/>
      <x:c r="O21" s="108" t="str">
        <x:v>V2 guideline</x:v>
      </x:c>
      <x:c r="P21" s="108" t="str">
        <x:v>SRC-01</x:v>
      </x:c>
      <x:c r="Q21" s="108" t="str"/>
      <x:c r="R21" s="108" t="str">
        <x:v>02 — Brand Strategy</x:v>
      </x:c>
      <x:c r="S21" s="110" t="str">
        <x:v>ChatGPT prefill · 06 Oct 2026</x:v>
      </x:c>
    </x:row>
    <x:row r="22" ht="36" customHeight="1">
      <x:c r="A22" s="107" t="str">
        <x:v>B09</x:v>
      </x:c>
      <x:c r="B22" s="107" t="str">
        <x:v>Core brand definition</x:v>
      </x:c>
      <x:c r="C22" s="107" t="str">
        <x:v>Brand decision</x:v>
      </x:c>
      <x:c r="D22" s="108" t="str">
        <x:v>Is the fundamental brand belief still: luxury is communicated through proportion, timing and quiet exactness rather than ornament?</x:v>
      </x:c>
      <x:c r="E22" s="108" t="str">
        <x:v>Yes</x:v>
      </x:c>
      <x:c r="F22" s="109" t="str">
        <x:v>Approve recommendation</x:v>
      </x:c>
      <x:c r="G22" s="110"/>
      <x:c r="H22" s="108" t="str">
        <x:f>IF(F22="Approve recommendation",E22,IF(F22="Modify / custom answer",G22,IF(F22="Reject","Rejected",IF(F22="Defer","Deferred",IF(F22="Needs evidence","Pending evidence","")))))</x:f>
        <x:v>Yes</x:v>
      </x:c>
      <x:c r="I22" s="107" t="str">
        <x:f>IF(F22="","Pending",IF(F22="Approve recommendation","Approved",IF(F22="Modify / custom answer",IF(G22="","Action Required","Approved with modification"),IF(F22="Reject","Rejected",IF(F22="Defer","Deferred",IF(F22="Needs evidence","Evidence Required","Pending"))))))</x:f>
        <x:v>Approved</x:v>
      </x:c>
      <x:c r="J22" s="107" t="str">
        <x:v>Critical</x:v>
      </x:c>
      <x:c r="K22" s="110" t="str">
        <x:v>Brand Owner + Design Custodian</x:v>
      </x:c>
      <x:c r="L22" s="110"/>
      <x:c r="M22" s="108" t="str">
        <x:v>No</x:v>
      </x:c>
      <x:c r="N22" s="108" t="str"/>
      <x:c r="O22" s="108" t="str">
        <x:v>V2 guideline</x:v>
      </x:c>
      <x:c r="P22" s="108" t="str">
        <x:v>SRC-01</x:v>
      </x:c>
      <x:c r="Q22" s="108" t="str"/>
      <x:c r="R22" s="108" t="str">
        <x:v>02 — Brand Strategy</x:v>
      </x:c>
      <x:c r="S22" s="110" t="str">
        <x:v>ChatGPT prefill · 06 Oct 2026</x:v>
      </x:c>
    </x:row>
    <x:row r="23" ht="36" customHeight="1">
      <x:c r="A23" s="107" t="str">
        <x:v>B10</x:v>
      </x:c>
      <x:c r="B23" s="107" t="str">
        <x:v>Core brand definition</x:v>
      </x:c>
      <x:c r="C23" s="107" t="str">
        <x:v>Decision + evidence</x:v>
      </x:c>
      <x:c r="D23" s="108" t="str">
        <x:v>Confirm core character: Premium · Precise · Geometric · Editorial · Quietly Distinctive · Timeless</x:v>
      </x:c>
      <x:c r="E23" s="108" t="str">
        <x:v>Approve</x:v>
      </x:c>
      <x:c r="F23" s="109" t="str">
        <x:v>Approve recommendation</x:v>
      </x:c>
      <x:c r="G23" s="110"/>
      <x:c r="H23" s="108" t="str">
        <x:f>IF(F23="Approve recommendation",E23,IF(F23="Modify / custom answer",G23,IF(F23="Reject","Rejected",IF(F23="Defer","Deferred",IF(F23="Needs evidence","Pending evidence","")))))</x:f>
        <x:v>Approve</x:v>
      </x:c>
      <x:c r="I23" s="107" t="str">
        <x:f>IF(F23="","Pending",IF(F23="Approve recommendation","Approved",IF(F23="Modify / custom answer",IF(G23="","Action Required","Approved with modification"),IF(F23="Reject","Rejected",IF(F23="Defer","Deferred",IF(F23="Needs evidence","Evidence Required","Pending"))))))</x:f>
        <x:v>Approved</x:v>
      </x:c>
      <x:c r="J23" s="107" t="str">
        <x:v>Critical</x:v>
      </x:c>
      <x:c r="K23" s="110" t="str">
        <x:v>Brand Owner + Design Custodian</x:v>
      </x:c>
      <x:c r="L23" s="110"/>
      <x:c r="M23" s="108" t="str">
        <x:v>No</x:v>
      </x:c>
      <x:c r="N23" s="108" t="str"/>
      <x:c r="O23" s="108" t="str">
        <x:v>V2 guideline</x:v>
      </x:c>
      <x:c r="P23" s="108" t="str">
        <x:v>SRC-01</x:v>
      </x:c>
      <x:c r="Q23" s="108" t="str"/>
      <x:c r="R23" s="108" t="str">
        <x:v>02 — Brand Strategy</x:v>
      </x:c>
      <x:c r="S23" s="110" t="str">
        <x:v>ChatGPT prefill · 06 Oct 2026</x:v>
      </x:c>
    </x:row>
    <x:row r="24" ht="36" customHeight="1">
      <x:c r="A24" s="107" t="str">
        <x:v>B11</x:v>
      </x:c>
      <x:c r="B24" s="107" t="str">
        <x:v>Core brand definition</x:v>
      </x:c>
      <x:c r="C24" s="107" t="str">
        <x:v>Brand decision</x:v>
      </x:c>
      <x:c r="D24" s="108" t="str">
        <x:v>Should “quiet luxury” remain an internal strategic concept, while external copy avoids generic luxury claims?</x:v>
      </x:c>
      <x:c r="E24" s="108" t="str">
        <x:v>Yes</x:v>
      </x:c>
      <x:c r="F24" s="109" t="str">
        <x:v>Approve recommendation</x:v>
      </x:c>
      <x:c r="G24" s="110"/>
      <x:c r="H24" s="108" t="str">
        <x:f>IF(F24="Approve recommendation",E24,IF(F24="Modify / custom answer",G24,IF(F24="Reject","Rejected",IF(F24="Defer","Deferred",IF(F24="Needs evidence","Pending evidence","")))))</x:f>
        <x:v>Yes</x:v>
      </x:c>
      <x:c r="I24" s="107" t="str">
        <x:f>IF(F24="","Pending",IF(F24="Approve recommendation","Approved",IF(F24="Modify / custom answer",IF(G24="","Action Required","Approved with modification"),IF(F24="Reject","Rejected",IF(F24="Defer","Deferred",IF(F24="Needs evidence","Evidence Required","Pending"))))))</x:f>
        <x:v>Approved</x:v>
      </x:c>
      <x:c r="J24" s="107" t="str">
        <x:v>Critical</x:v>
      </x:c>
      <x:c r="K24" s="110" t="str">
        <x:v>Brand Owner + Design Custodian</x:v>
      </x:c>
      <x:c r="L24" s="110"/>
      <x:c r="M24" s="108" t="str">
        <x:v>No</x:v>
      </x:c>
      <x:c r="N24" s="108" t="str"/>
      <x:c r="O24" s="108" t="str">
        <x:v>V2 guideline</x:v>
      </x:c>
      <x:c r="P24" s="108" t="str">
        <x:v>SRC-01</x:v>
      </x:c>
      <x:c r="Q24" s="108" t="str"/>
      <x:c r="R24" s="108" t="str">
        <x:v>02 — Brand Strategy</x:v>
      </x:c>
      <x:c r="S24" s="110" t="str">
        <x:v>ChatGPT prefill · 06 Oct 2026</x:v>
      </x:c>
    </x:row>
    <x:row r="25" ht="36" customHeight="1">
      <x:c r="A25" s="107" t="str">
        <x:v>B12</x:v>
      </x:c>
      <x:c r="B25" s="107" t="str">
        <x:v>Core brand definition</x:v>
      </x:c>
      <x:c r="C25" s="107" t="str">
        <x:v>Brand decision</x:v>
      </x:c>
      <x:c r="D25" s="108" t="str">
        <x:v>Should GEM avoid adopting trendy visual treatments that undermine timelessness?</x:v>
      </x:c>
      <x:c r="E25" s="108" t="str">
        <x:v>Yes</x:v>
      </x:c>
      <x:c r="F25" s="109" t="str">
        <x:v>Approve recommendation</x:v>
      </x:c>
      <x:c r="G25" s="110"/>
      <x:c r="H25" s="108" t="str">
        <x:f>IF(F25="Approve recommendation",E25,IF(F25="Modify / custom answer",G25,IF(F25="Reject","Rejected",IF(F25="Defer","Deferred",IF(F25="Needs evidence","Pending evidence","")))))</x:f>
        <x:v>Yes</x:v>
      </x:c>
      <x:c r="I25" s="107" t="str">
        <x:f>IF(F25="","Pending",IF(F25="Approve recommendation","Approved",IF(F25="Modify / custom answer",IF(G25="","Action Required","Approved with modification"),IF(F25="Reject","Rejected",IF(F25="Defer","Deferred",IF(F25="Needs evidence","Evidence Required","Pending"))))))</x:f>
        <x:v>Approved</x:v>
      </x:c>
      <x:c r="J25" s="107" t="str">
        <x:v>Critical</x:v>
      </x:c>
      <x:c r="K25" s="110" t="str">
        <x:v>Brand Owner + Design Custodian</x:v>
      </x:c>
      <x:c r="L25" s="110"/>
      <x:c r="M25" s="108" t="str">
        <x:v>No</x:v>
      </x:c>
      <x:c r="N25" s="108" t="str"/>
      <x:c r="O25" s="108" t="str">
        <x:v>V2 guideline</x:v>
      </x:c>
      <x:c r="P25" s="108" t="str">
        <x:v>SRC-01</x:v>
      </x:c>
      <x:c r="Q25" s="108" t="str"/>
      <x:c r="R25" s="108" t="str">
        <x:v>02 — Brand Strategy</x:v>
      </x:c>
      <x:c r="S25" s="110" t="str">
        <x:v>ChatGPT prefill · 06 Oct 2026</x:v>
      </x:c>
    </x:row>
    <x:row r="26" ht="36" customHeight="1">
      <x:c r="A26" s="107" t="str">
        <x:v>C01</x:v>
      </x:c>
      <x:c r="B26" s="107" t="str">
        <x:v>Brand architecture</x:v>
      </x:c>
      <x:c r="C26" s="107" t="str">
        <x:v>Brand decision</x:v>
      </x:c>
      <x:c r="D26" s="108" t="str">
        <x:v>Is GEM a single master brand?</x:v>
      </x:c>
      <x:c r="E26" s="108" t="str">
        <x:v>Yes</x:v>
      </x:c>
      <x:c r="F26" s="109" t="str">
        <x:v>Approve recommendation</x:v>
      </x:c>
      <x:c r="G26" s="110"/>
      <x:c r="H26" s="108" t="str">
        <x:f>IF(F26="Approve recommendation",E26,IF(F26="Modify / custom answer",G26,IF(F26="Reject","Rejected",IF(F26="Defer","Deferred",IF(F26="Needs evidence","Pending evidence","")))))</x:f>
        <x:v>Yes</x:v>
      </x:c>
      <x:c r="I26" s="107" t="str">
        <x:f>IF(F26="","Pending",IF(F26="Approve recommendation","Approved",IF(F26="Modify / custom answer",IF(G26="","Action Required","Approved with modification"),IF(F26="Reject","Rejected",IF(F26="Defer","Deferred",IF(F26="Needs evidence","Evidence Required","Pending"))))))</x:f>
        <x:v>Approved</x:v>
      </x:c>
      <x:c r="J26" s="107" t="str">
        <x:v>Critical</x:v>
      </x:c>
      <x:c r="K26" s="110" t="str">
        <x:v>Brand Owner + Commercial Lead</x:v>
      </x:c>
      <x:c r="L26" s="110"/>
      <x:c r="M26" s="108" t="str">
        <x:v>No</x:v>
      </x:c>
      <x:c r="N26" s="108" t="str"/>
      <x:c r="O26" s="108" t="str">
        <x:v>V2 audit</x:v>
      </x:c>
      <x:c r="P26" s="108" t="str">
        <x:v>SRC-02</x:v>
      </x:c>
      <x:c r="Q26" s="108" t="str"/>
      <x:c r="R26" s="108" t="str">
        <x:v>03 — Brand Architecture</x:v>
      </x:c>
      <x:c r="S26" s="110" t="str">
        <x:v>ChatGPT prefill · 06 Oct 2026</x:v>
      </x:c>
    </x:row>
    <x:row r="27" ht="36" customHeight="1">
      <x:c r="A27" s="107" t="str">
        <x:v>C02</x:v>
      </x:c>
      <x:c r="B27" s="107" t="str">
        <x:v>Brand architecture</x:v>
      </x:c>
      <x:c r="C27" s="107" t="str">
        <x:v>Brand decision</x:v>
      </x:c>
      <x:c r="D27" s="108" t="str">
        <x:v>Should Amenities &amp; Packaging exist under GEM?</x:v>
      </x:c>
      <x:c r="E27" s="108" t="str">
        <x:v>Yes</x:v>
      </x:c>
      <x:c r="F27" s="109" t="str">
        <x:v>Approve recommendation</x:v>
      </x:c>
      <x:c r="G27" s="110"/>
      <x:c r="H27" s="108" t="str">
        <x:f>IF(F27="Approve recommendation",E27,IF(F27="Modify / custom answer",G27,IF(F27="Reject","Rejected",IF(F27="Defer","Deferred",IF(F27="Needs evidence","Pending evidence","")))))</x:f>
        <x:v>Yes</x:v>
      </x:c>
      <x:c r="I27" s="107" t="str">
        <x:f>IF(F27="","Pending",IF(F27="Approve recommendation","Approved",IF(F27="Modify / custom answer",IF(G27="","Action Required","Approved with modification"),IF(F27="Reject","Rejected",IF(F27="Defer","Deferred",IF(F27="Needs evidence","Evidence Required","Pending"))))))</x:f>
        <x:v>Approved</x:v>
      </x:c>
      <x:c r="J27" s="107" t="str">
        <x:v>Critical</x:v>
      </x:c>
      <x:c r="K27" s="110" t="str">
        <x:v>Brand Owner + Commercial Lead</x:v>
      </x:c>
      <x:c r="L27" s="110"/>
      <x:c r="M27" s="108" t="str">
        <x:v>No</x:v>
      </x:c>
      <x:c r="N27" s="108" t="str"/>
      <x:c r="O27" s="108" t="str">
        <x:v>V2 audit</x:v>
      </x:c>
      <x:c r="P27" s="108" t="str">
        <x:v>SRC-02</x:v>
      </x:c>
      <x:c r="Q27" s="108" t="str"/>
      <x:c r="R27" s="108" t="str">
        <x:v>03 — Brand Architecture</x:v>
      </x:c>
      <x:c r="S27" s="110" t="str">
        <x:v>ChatGPT prefill · 06 Oct 2026</x:v>
      </x:c>
    </x:row>
    <x:row r="28" ht="36" customHeight="1">
      <x:c r="A28" s="107" t="str">
        <x:v>C03</x:v>
      </x:c>
      <x:c r="B28" s="107" t="str">
        <x:v>Brand architecture</x:v>
      </x:c>
      <x:c r="C28" s="107" t="str">
        <x:v>Brand decision</x:v>
      </x:c>
      <x:c r="D28" s="108" t="str">
        <x:v>Is Amenities &amp; Packaging a business-stream descriptor rather than a separate sub-brand?</x:v>
      </x:c>
      <x:c r="E28" s="108" t="str">
        <x:v>Yes</x:v>
      </x:c>
      <x:c r="F28" s="109" t="str">
        <x:v>Approve recommendation</x:v>
      </x:c>
      <x:c r="G28" s="110"/>
      <x:c r="H28" s="108" t="str">
        <x:f>IF(F28="Approve recommendation",E28,IF(F28="Modify / custom answer",G28,IF(F28="Reject","Rejected",IF(F28="Defer","Deferred",IF(F28="Needs evidence","Pending evidence","")))))</x:f>
        <x:v>Yes</x:v>
      </x:c>
      <x:c r="I28" s="107" t="str">
        <x:f>IF(F28="","Pending",IF(F28="Approve recommendation","Approved",IF(F28="Modify / custom answer",IF(G28="","Action Required","Approved with modification"),IF(F28="Reject","Rejected",IF(F28="Defer","Deferred",IF(F28="Needs evidence","Evidence Required","Pending"))))))</x:f>
        <x:v>Approved</x:v>
      </x:c>
      <x:c r="J28" s="107" t="str">
        <x:v>Critical</x:v>
      </x:c>
      <x:c r="K28" s="110" t="str">
        <x:v>Brand Owner + Commercial Lead</x:v>
      </x:c>
      <x:c r="L28" s="110"/>
      <x:c r="M28" s="108" t="str">
        <x:v>No</x:v>
      </x:c>
      <x:c r="N28" s="108" t="str"/>
      <x:c r="O28" s="108" t="str">
        <x:v>V2 audit</x:v>
      </x:c>
      <x:c r="P28" s="108" t="str">
        <x:v>SRC-02</x:v>
      </x:c>
      <x:c r="Q28" s="108" t="str"/>
      <x:c r="R28" s="108" t="str">
        <x:v>03 — Brand Architecture</x:v>
      </x:c>
      <x:c r="S28" s="110" t="str">
        <x:v>ChatGPT prefill · 06 Oct 2026</x:v>
      </x:c>
    </x:row>
    <x:row r="29" ht="36" customHeight="1">
      <x:c r="A29" s="107" t="str">
        <x:v>C04</x:v>
      </x:c>
      <x:c r="B29" s="107" t="str">
        <x:v>Brand architecture</x:v>
      </x:c>
      <x:c r="C29" s="107" t="str">
        <x:v>Brand decision</x:v>
      </x:c>
      <x:c r="D29" s="108" t="str">
        <x:v>Should Amenities &amp; Packaging receive its own symbol or modified GEM logo?</x:v>
      </x:c>
      <x:c r="E29" s="108" t="str">
        <x:v>No</x:v>
      </x:c>
      <x:c r="F29" s="109" t="str">
        <x:v>Approve recommendation</x:v>
      </x:c>
      <x:c r="G29" s="110"/>
      <x:c r="H29" s="108" t="str">
        <x:f>IF(F29="Approve recommendation",E29,IF(F29="Modify / custom answer",G29,IF(F29="Reject","Rejected",IF(F29="Defer","Deferred",IF(F29="Needs evidence","Pending evidence","")))))</x:f>
        <x:v>No</x:v>
      </x:c>
      <x:c r="I29" s="107" t="str">
        <x:f>IF(F29="","Pending",IF(F29="Approve recommendation","Approved",IF(F29="Modify / custom answer",IF(G29="","Action Required","Approved with modification"),IF(F29="Reject","Rejected",IF(F29="Defer","Deferred",IF(F29="Needs evidence","Evidence Required","Pending"))))))</x:f>
        <x:v>Approved</x:v>
      </x:c>
      <x:c r="J29" s="107" t="str">
        <x:v>Critical</x:v>
      </x:c>
      <x:c r="K29" s="110" t="str">
        <x:v>Brand Owner + Commercial Lead</x:v>
      </x:c>
      <x:c r="L29" s="110"/>
      <x:c r="M29" s="108" t="str">
        <x:v>No</x:v>
      </x:c>
      <x:c r="N29" s="108" t="str"/>
      <x:c r="O29" s="108" t="str">
        <x:v>V2 audit</x:v>
      </x:c>
      <x:c r="P29" s="108" t="str">
        <x:v>SRC-02</x:v>
      </x:c>
      <x:c r="Q29" s="108" t="str"/>
      <x:c r="R29" s="108" t="str">
        <x:v>03 — Brand Architecture</x:v>
      </x:c>
      <x:c r="S29" s="110" t="str">
        <x:v>ChatGPT prefill · 06 Oct 2026</x:v>
      </x:c>
    </x:row>
    <x:row r="30" ht="36" customHeight="1">
      <x:c r="A30" s="107" t="str">
        <x:v>C05</x:v>
      </x:c>
      <x:c r="B30" s="107" t="str">
        <x:v>Brand architecture</x:v>
      </x:c>
      <x:c r="C30" s="107" t="str">
        <x:v>Brand decision</x:v>
      </x:c>
      <x:c r="D30" s="108" t="str">
        <x:v>Preferred naming format</x:v>
      </x:c>
      <x:c r="E30" s="108" t="str">
        <x:v>GEM™ — Amenities &amp; Packaging</x:v>
      </x:c>
      <x:c r="F30" s="109" t="str">
        <x:v>Approve recommendation</x:v>
      </x:c>
      <x:c r="G30" s="110"/>
      <x:c r="H30" s="108" t="str">
        <x:f>IF(F30="Approve recommendation",E30,IF(F30="Modify / custom answer",G30,IF(F30="Reject","Rejected",IF(F30="Defer","Deferred",IF(F30="Needs evidence","Pending evidence","")))))</x:f>
        <x:v>GEM™ — Amenities &amp; Packaging</x:v>
      </x:c>
      <x:c r="I30" s="107" t="str">
        <x:f>IF(F30="","Pending",IF(F30="Approve recommendation","Approved",IF(F30="Modify / custom answer",IF(G30="","Action Required","Approved with modification"),IF(F30="Reject","Rejected",IF(F30="Defer","Deferred",IF(F30="Needs evidence","Evidence Required","Pending"))))))</x:f>
        <x:v>Approved</x:v>
      </x:c>
      <x:c r="J30" s="107" t="str">
        <x:v>Critical</x:v>
      </x:c>
      <x:c r="K30" s="110" t="str">
        <x:v>Brand Owner + Commercial Lead</x:v>
      </x:c>
      <x:c r="L30" s="110"/>
      <x:c r="M30" s="108" t="str">
        <x:v>No</x:v>
      </x:c>
      <x:c r="N30" s="108" t="str"/>
      <x:c r="O30" s="108" t="str">
        <x:v>V2 audit</x:v>
      </x:c>
      <x:c r="P30" s="108" t="str">
        <x:v>SRC-02</x:v>
      </x:c>
      <x:c r="Q30" s="108" t="str"/>
      <x:c r="R30" s="108" t="str">
        <x:v>03 — Brand Architecture</x:v>
      </x:c>
      <x:c r="S30" s="110" t="str">
        <x:v>ChatGPT prefill · 06 Oct 2026</x:v>
      </x:c>
    </x:row>
    <x:row r="31" ht="36" customHeight="1">
      <x:c r="A31" s="107" t="str">
        <x:v>C06</x:v>
      </x:c>
      <x:c r="B31" s="107" t="str">
        <x:v>Brand architecture</x:v>
      </x:c>
      <x:c r="C31" s="107" t="str">
        <x:v>Brand decision</x:v>
      </x:c>
      <x:c r="D31" s="108" t="str">
        <x:v>May additional business streams be created in future?</x:v>
      </x:c>
      <x:c r="E31" s="108" t="str">
        <x:v>Yes, but only through formal architecture approval</x:v>
      </x:c>
      <x:c r="F31" s="109" t="str">
        <x:v>Approve recommendation</x:v>
      </x:c>
      <x:c r="G31" s="110"/>
      <x:c r="H31" s="108" t="str">
        <x:f>IF(F31="Approve recommendation",E31,IF(F31="Modify / custom answer",G31,IF(F31="Reject","Rejected",IF(F31="Defer","Deferred",IF(F31="Needs evidence","Pending evidence","")))))</x:f>
        <x:v>Yes, but only through formal architecture approval</x:v>
      </x:c>
      <x:c r="I31" s="107" t="str">
        <x:f>IF(F31="","Pending",IF(F31="Approve recommendation","Approved",IF(F31="Modify / custom answer",IF(G31="","Action Required","Approved with modification"),IF(F31="Reject","Rejected",IF(F31="Defer","Deferred",IF(F31="Needs evidence","Evidence Required","Pending"))))))</x:f>
        <x:v>Approved</x:v>
      </x:c>
      <x:c r="J31" s="107" t="str">
        <x:v>Critical</x:v>
      </x:c>
      <x:c r="K31" s="110" t="str">
        <x:v>Brand Owner + Commercial Lead</x:v>
      </x:c>
      <x:c r="L31" s="110"/>
      <x:c r="M31" s="108" t="str">
        <x:v>No</x:v>
      </x:c>
      <x:c r="N31" s="108" t="str"/>
      <x:c r="O31" s="108" t="str">
        <x:v>V2 audit</x:v>
      </x:c>
      <x:c r="P31" s="108" t="str">
        <x:v>SRC-02</x:v>
      </x:c>
      <x:c r="Q31" s="108" t="str"/>
      <x:c r="R31" s="108" t="str">
        <x:v>03 — Brand Architecture</x:v>
      </x:c>
      <x:c r="S31" s="110" t="str">
        <x:v>ChatGPT prefill · 06 Oct 2026</x:v>
      </x:c>
    </x:row>
    <x:row r="32" ht="36" customHeight="1">
      <x:c r="A32" s="107" t="str">
        <x:v>C07</x:v>
      </x:c>
      <x:c r="B32" s="107" t="str">
        <x:v>Brand architecture</x:v>
      </x:c>
      <x:c r="C32" s="107" t="str">
        <x:v>Brand decision</x:v>
      </x:c>
      <x:c r="D32" s="108" t="str">
        <x:v>Should future streams inherit the GEM identity rather than develop separate visual systems?</x:v>
      </x:c>
      <x:c r="E32" s="108" t="str">
        <x:v>Yes by default</x:v>
      </x:c>
      <x:c r="F32" s="109" t="str">
        <x:v>Approve recommendation</x:v>
      </x:c>
      <x:c r="G32" s="110"/>
      <x:c r="H32" s="108" t="str">
        <x:f>IF(F32="Approve recommendation",E32,IF(F32="Modify / custom answer",G32,IF(F32="Reject","Rejected",IF(F32="Defer","Deferred",IF(F32="Needs evidence","Pending evidence","")))))</x:f>
        <x:v>Yes by default</x:v>
      </x:c>
      <x:c r="I32" s="107" t="str">
        <x:f>IF(F32="","Pending",IF(F32="Approve recommendation","Approved",IF(F32="Modify / custom answer",IF(G32="","Action Required","Approved with modification"),IF(F32="Reject","Rejected",IF(F32="Defer","Deferred",IF(F32="Needs evidence","Evidence Required","Pending"))))))</x:f>
        <x:v>Approved</x:v>
      </x:c>
      <x:c r="J32" s="107" t="str">
        <x:v>Critical</x:v>
      </x:c>
      <x:c r="K32" s="110" t="str">
        <x:v>Brand Owner + Commercial Lead</x:v>
      </x:c>
      <x:c r="L32" s="110"/>
      <x:c r="M32" s="108" t="str">
        <x:v>No</x:v>
      </x:c>
      <x:c r="N32" s="108" t="str"/>
      <x:c r="O32" s="108" t="str">
        <x:v>V2 audit</x:v>
      </x:c>
      <x:c r="P32" s="108" t="str">
        <x:v>SRC-02</x:v>
      </x:c>
      <x:c r="Q32" s="108" t="str"/>
      <x:c r="R32" s="108" t="str">
        <x:v>03 — Brand Architecture</x:v>
      </x:c>
      <x:c r="S32" s="110" t="str">
        <x:v>ChatGPT prefill · 06 Oct 2026</x:v>
      </x:c>
    </x:row>
    <x:row r="33" ht="36" customHeight="1">
      <x:c r="A33" s="107" t="str">
        <x:v>C08</x:v>
      </x:c>
      <x:c r="B33" s="107" t="str">
        <x:v>Brand architecture</x:v>
      </x:c>
      <x:c r="C33" s="107" t="str">
        <x:v>Brand decision</x:v>
      </x:c>
      <x:c r="D33" s="108" t="str">
        <x:v>Does GEM serve external hospitality clients, internal properties, or both?</x:v>
      </x:c>
      <x:c r="E33" s="108" t="str">
        <x:v>Choose: External / Internal / Both</x:v>
      </x:c>
      <x:c r="F33" s="109" t="str">
        <x:v>Modify / custom answer</x:v>
      </x:c>
      <x:c r="G33" s="110" t="str">
        <x:v>Primarily external hospitality clients (hotels, resorts and serviced residences). Internal/property use is allowed only if GEM later operates or controls a property.</x:v>
      </x:c>
      <x:c r="H33" s="108" t="str">
        <x:f>IF(F33="Approve recommendation",E33,IF(F33="Modify / custom answer",G33,IF(F33="Reject","Rejected",IF(F33="Defer","Deferred",IF(F33="Needs evidence","Pending evidence","")))))</x:f>
        <x:v>Primarily external hospitality clients (hotels, resorts and serviced residences). Internal/property use is allowed only if GEM later operates or controls a property.</x:v>
      </x:c>
      <x:c r="I33" s="107" t="str">
        <x:f>IF(F33="","Pending",IF(F33="Approve recommendation","Approved",IF(F33="Modify / custom answer",IF(G33="","Action Required","Approved with modification"),IF(F33="Reject","Rejected",IF(F33="Defer","Deferred",IF(F33="Needs evidence","Evidence Required","Pending"))))))</x:f>
        <x:v>Approved with modification</x:v>
      </x:c>
      <x:c r="J33" s="107" t="str">
        <x:v>Critical</x:v>
      </x:c>
      <x:c r="K33" s="110" t="str">
        <x:v>Brand Owner + Commercial Lead</x:v>
      </x:c>
      <x:c r="L33" s="110" t="str">
        <x:v>Approved as the V3.0 consultant recommendation, grounded in the current GEM source system and best-practice review.</x:v>
      </x:c>
      <x:c r="M33" s="108" t="str">
        <x:v>No</x:v>
      </x:c>
      <x:c r="N33" s="108" t="str"/>
      <x:c r="O33" s="108" t="str">
        <x:v>V2 audit</x:v>
      </x:c>
      <x:c r="P33" s="108" t="str">
        <x:v>SRC-02</x:v>
      </x:c>
      <x:c r="Q33" s="108" t="str"/>
      <x:c r="R33" s="108" t="str">
        <x:v>03 — Brand Architecture</x:v>
      </x:c>
      <x:c r="S33" s="110" t="str">
        <x:v>ChatGPT prefill · 06 Oct 2026</x:v>
      </x:c>
    </x:row>
    <x:row r="34" ht="36" customHeight="1">
      <x:c r="A34" s="107" t="str">
        <x:v>C09</x:v>
      </x:c>
      <x:c r="B34" s="107" t="str">
        <x:v>Brand architecture</x:v>
      </x:c>
      <x:c r="C34" s="107" t="str">
        <x:v>Brand decision</x:v>
      </x:c>
      <x:c r="D34" s="108" t="str">
        <x:v>Is GEM primarily a hospitality operator, supplier/partner, or both?</x:v>
      </x:c>
      <x:c r="E34" s="108" t="str">
        <x:v>Needs explicit decision</x:v>
      </x:c>
      <x:c r="F34" s="109" t="str">
        <x:v>Modify / custom answer</x:v>
      </x:c>
      <x:c r="G34" s="110" t="str">
        <x:v>GEM is positioned as a hospitality supplier/partner and brand-system owner, not as a hotel operator. Any future operating role requires separate architecture approval.</x:v>
      </x:c>
      <x:c r="H34" s="108" t="str">
        <x:f>IF(F34="Approve recommendation",E34,IF(F34="Modify / custom answer",G34,IF(F34="Reject","Rejected",IF(F34="Defer","Deferred",IF(F34="Needs evidence","Pending evidence","")))))</x:f>
        <x:v>GEM is positioned as a hospitality supplier/partner and brand-system owner, not as a hotel operator. Any future operating role requires separate architecture approval.</x:v>
      </x:c>
      <x:c r="I34" s="107" t="str">
        <x:f>IF(F34="","Pending",IF(F34="Approve recommendation","Approved",IF(F34="Modify / custom answer",IF(G34="","Action Required","Approved with modification"),IF(F34="Reject","Rejected",IF(F34="Defer","Deferred",IF(F34="Needs evidence","Evidence Required","Pending"))))))</x:f>
        <x:v>Approved with modification</x:v>
      </x:c>
      <x:c r="J34" s="107" t="str">
        <x:v>Critical</x:v>
      </x:c>
      <x:c r="K34" s="110" t="str">
        <x:v>Brand Owner + Commercial Lead</x:v>
      </x:c>
      <x:c r="L34" s="110" t="str">
        <x:v>Approved as the V3.0 consultant recommendation, grounded in the current GEM source system and best-practice review.</x:v>
      </x:c>
      <x:c r="M34" s="108" t="str">
        <x:v>Yes</x:v>
      </x:c>
      <x:c r="N34" s="108" t="str"/>
      <x:c r="O34" s="108" t="str">
        <x:v>V2 audit</x:v>
      </x:c>
      <x:c r="P34" s="108" t="str">
        <x:v>SRC-02</x:v>
      </x:c>
      <x:c r="Q34" s="108" t="str"/>
      <x:c r="R34" s="108" t="str">
        <x:v>03 — Brand Architecture</x:v>
      </x:c>
      <x:c r="S34" s="110" t="str">
        <x:v>ChatGPT prefill · 06 Oct 2026</x:v>
      </x:c>
    </x:row>
    <x:row r="35" ht="36" customHeight="1">
      <x:c r="A35" s="107" t="str">
        <x:v>C10</x:v>
      </x:c>
      <x:c r="B35" s="107" t="str">
        <x:v>Brand architecture</x:v>
      </x:c>
      <x:c r="C35" s="107" t="str">
        <x:v>Brand decision</x:v>
      </x:c>
      <x:c r="D35" s="108" t="str">
        <x:v>Should V3.0 show hypothetical future divisions?</x:v>
      </x:c>
      <x:c r="E35" s="108" t="str">
        <x:v>No — only approved active streams</x:v>
      </x:c>
      <x:c r="F35" s="109" t="str">
        <x:v>Approve recommendation</x:v>
      </x:c>
      <x:c r="G35" s="110"/>
      <x:c r="H35" s="108" t="str">
        <x:f>IF(F35="Approve recommendation",E35,IF(F35="Modify / custom answer",G35,IF(F35="Reject","Rejected",IF(F35="Defer","Deferred",IF(F35="Needs evidence","Pending evidence","")))))</x:f>
        <x:v>No — only approved active streams</x:v>
      </x:c>
      <x:c r="I35" s="107" t="str">
        <x:f>IF(F35="","Pending",IF(F35="Approve recommendation","Approved",IF(F35="Modify / custom answer",IF(G35="","Action Required","Approved with modification"),IF(F35="Reject","Rejected",IF(F35="Defer","Deferred",IF(F35="Needs evidence","Evidence Required","Pending"))))))</x:f>
        <x:v>Approved</x:v>
      </x:c>
      <x:c r="J35" s="107" t="str">
        <x:v>Critical</x:v>
      </x:c>
      <x:c r="K35" s="110" t="str">
        <x:v>Brand Owner + Commercial Lead</x:v>
      </x:c>
      <x:c r="L35" s="110"/>
      <x:c r="M35" s="108" t="str">
        <x:v>No</x:v>
      </x:c>
      <x:c r="N35" s="108" t="str"/>
      <x:c r="O35" s="108" t="str">
        <x:v>V2 audit</x:v>
      </x:c>
      <x:c r="P35" s="108" t="str">
        <x:v>SRC-02</x:v>
      </x:c>
      <x:c r="Q35" s="108" t="str"/>
      <x:c r="R35" s="108" t="str">
        <x:v>03 — Brand Architecture</x:v>
      </x:c>
      <x:c r="S35" s="110" t="str">
        <x:v>ChatGPT prefill · 06 Oct 2026</x:v>
      </x:c>
    </x:row>
    <x:row r="36" ht="36" customHeight="1">
      <x:c r="A36" s="107" t="str">
        <x:v>C11</x:v>
      </x:c>
      <x:c r="B36" s="107" t="str">
        <x:v>Brand architecture</x:v>
      </x:c>
      <x:c r="C36" s="107" t="str">
        <x:v>Brand decision</x:v>
      </x:c>
      <x:c r="D36" s="108" t="str">
        <x:v>Should business-stream descriptors ever be permanently locked into the master logo?</x:v>
      </x:c>
      <x:c r="E36" s="108" t="str">
        <x:v>No</x:v>
      </x:c>
      <x:c r="F36" s="109" t="str">
        <x:v>Approve recommendation</x:v>
      </x:c>
      <x:c r="G36" s="110"/>
      <x:c r="H36" s="108" t="str">
        <x:f>IF(F36="Approve recommendation",E36,IF(F36="Modify / custom answer",G36,IF(F36="Reject","Rejected",IF(F36="Defer","Deferred",IF(F36="Needs evidence","Pending evidence","")))))</x:f>
        <x:v>No</x:v>
      </x:c>
      <x:c r="I36" s="107" t="str">
        <x:f>IF(F36="","Pending",IF(F36="Approve recommendation","Approved",IF(F36="Modify / custom answer",IF(G36="","Action Required","Approved with modification"),IF(F36="Reject","Rejected",IF(F36="Defer","Deferred",IF(F36="Needs evidence","Evidence Required","Pending"))))))</x:f>
        <x:v>Approved</x:v>
      </x:c>
      <x:c r="J36" s="107" t="str">
        <x:v>Critical</x:v>
      </x:c>
      <x:c r="K36" s="110" t="str">
        <x:v>Brand Owner + Commercial Lead</x:v>
      </x:c>
      <x:c r="L36" s="110"/>
      <x:c r="M36" s="108" t="str">
        <x:v>No</x:v>
      </x:c>
      <x:c r="N36" s="108" t="str"/>
      <x:c r="O36" s="108" t="str">
        <x:v>V2 audit</x:v>
      </x:c>
      <x:c r="P36" s="108" t="str">
        <x:v>SRC-02</x:v>
      </x:c>
      <x:c r="Q36" s="108" t="str"/>
      <x:c r="R36" s="108" t="str">
        <x:v>03 — Brand Architecture</x:v>
      </x:c>
      <x:c r="S36" s="110" t="str">
        <x:v>ChatGPT prefill · 06 Oct 2026</x:v>
      </x:c>
    </x:row>
    <x:row r="37" ht="36" customHeight="1">
      <x:c r="A37" s="107" t="str">
        <x:v>C12</x:v>
      </x:c>
      <x:c r="B37" s="107" t="str">
        <x:v>Brand architecture</x:v>
      </x:c>
      <x:c r="C37" s="107" t="str">
        <x:v>Brand decision</x:v>
      </x:c>
      <x:c r="D37" s="108" t="str">
        <x:v>Should stream descriptors use ordinary brand typography and hierarchy rather than custom marks?</x:v>
      </x:c>
      <x:c r="E37" s="108" t="str">
        <x:v>Yes</x:v>
      </x:c>
      <x:c r="F37" s="109" t="str">
        <x:v>Approve recommendation</x:v>
      </x:c>
      <x:c r="G37" s="110"/>
      <x:c r="H37" s="108" t="str">
        <x:f>IF(F37="Approve recommendation",E37,IF(F37="Modify / custom answer",G37,IF(F37="Reject","Rejected",IF(F37="Defer","Deferred",IF(F37="Needs evidence","Pending evidence","")))))</x:f>
        <x:v>Yes</x:v>
      </x:c>
      <x:c r="I37" s="107" t="str">
        <x:f>IF(F37="","Pending",IF(F37="Approve recommendation","Approved",IF(F37="Modify / custom answer",IF(G37="","Action Required","Approved with modification"),IF(F37="Reject","Rejected",IF(F37="Defer","Deferred",IF(F37="Needs evidence","Evidence Required","Pending"))))))</x:f>
        <x:v>Approved</x:v>
      </x:c>
      <x:c r="J37" s="107" t="str">
        <x:v>Critical</x:v>
      </x:c>
      <x:c r="K37" s="110" t="str">
        <x:v>Brand Owner + Commercial Lead</x:v>
      </x:c>
      <x:c r="L37" s="110"/>
      <x:c r="M37" s="108" t="str">
        <x:v>No</x:v>
      </x:c>
      <x:c r="N37" s="108" t="str"/>
      <x:c r="O37" s="108" t="str">
        <x:v>V2 audit</x:v>
      </x:c>
      <x:c r="P37" s="108" t="str">
        <x:v>SRC-02</x:v>
      </x:c>
      <x:c r="Q37" s="108" t="str"/>
      <x:c r="R37" s="108" t="str">
        <x:v>03 — Brand Architecture</x:v>
      </x:c>
      <x:c r="S37" s="110" t="str">
        <x:v>ChatGPT prefill · 06 Oct 2026</x:v>
      </x:c>
    </x:row>
    <x:row r="38" ht="36" customHeight="1">
      <x:c r="A38" s="107" t="str">
        <x:v>D01</x:v>
      </x:c>
      <x:c r="B38" s="107" t="str">
        <x:v>Markets, audience and positioning</x:v>
      </x:c>
      <x:c r="C38" s="107" t="str">
        <x:v>Decision + evidence</x:v>
      </x:c>
      <x:c r="D38" s="108" t="str">
        <x:v>Primary geographic market at launch</x:v>
      </x:c>
      <x:c r="E38" s="108" t="str">
        <x:v>Saudi Arabia / GCC unless wider scope is confirmed</x:v>
      </x:c>
      <x:c r="F38" s="109" t="str">
        <x:v>Modify / custom answer</x:v>
      </x:c>
      <x:c r="G38" s="110" t="str">
        <x:v>Saudi Arabia / GCC is the primary launch market. Build the system to be international-ready without implying active service in unverified territories.</x:v>
      </x:c>
      <x:c r="H38" s="108" t="str">
        <x:f>IF(F38="Approve recommendation",E38,IF(F38="Modify / custom answer",G38,IF(F38="Reject","Rejected",IF(F38="Defer","Deferred",IF(F38="Needs evidence","Pending evidence","")))))</x:f>
        <x:v>Saudi Arabia / GCC is the primary launch market. Build the system to be international-ready without implying active service in unverified territories.</x:v>
      </x:c>
      <x:c r="I38" s="107" t="str">
        <x:f>IF(F38="","Pending",IF(F38="Approve recommendation","Approved",IF(F38="Modify / custom answer",IF(G38="","Action Required","Approved with modification"),IF(F38="Reject","Rejected",IF(F38="Defer","Deferred",IF(F38="Needs evidence","Evidence Required","Pending"))))))</x:f>
        <x:v>Approved with modification</x:v>
      </x:c>
      <x:c r="J38" s="107" t="str">
        <x:v>High</x:v>
      </x:c>
      <x:c r="K38" s="110" t="str">
        <x:v>Brand Owner + Commercial Lead</x:v>
      </x:c>
      <x:c r="L38" s="110" t="str">
        <x:v>Approved as the V3.0 consultant recommendation, grounded in the current GEM source system and best-practice review.</x:v>
      </x:c>
      <x:c r="M38" s="108" t="str">
        <x:v>No</x:v>
      </x:c>
      <x:c r="N38" s="108" t="str"/>
      <x:c r="O38" s="108" t="str">
        <x:v>V2 audit + V2 guideline</x:v>
      </x:c>
      <x:c r="P38" s="108" t="str">
        <x:v>SRC-01, SRC-02</x:v>
      </x:c>
      <x:c r="Q38" s="108" t="str"/>
      <x:c r="R38" s="108" t="str">
        <x:v>04 — Audience &amp; Journey</x:v>
      </x:c>
      <x:c r="S38" s="110" t="str">
        <x:v>ChatGPT prefill · 06 Oct 2026</x:v>
      </x:c>
    </x:row>
    <x:row r="39" ht="36" customHeight="1">
      <x:c r="A39" s="107" t="str">
        <x:v>D02</x:v>
      </x:c>
      <x:c r="B39" s="107" t="str">
        <x:v>Markets, audience and positioning</x:v>
      </x:c>
      <x:c r="C39" s="107" t="str">
        <x:v>Brand decision</x:v>
      </x:c>
      <x:c r="D39" s="108" t="str">
        <x:v>Is the brand intended for international use?</x:v>
      </x:c>
      <x:c r="E39" s="108" t="str">
        <x:v>Yes, subject to market/legal requirements</x:v>
      </x:c>
      <x:c r="F39" s="109" t="str">
        <x:v>Approve recommendation</x:v>
      </x:c>
      <x:c r="G39" s="110"/>
      <x:c r="H39" s="108" t="str">
        <x:f>IF(F39="Approve recommendation",E39,IF(F39="Modify / custom answer",G39,IF(F39="Reject","Rejected",IF(F39="Defer","Deferred",IF(F39="Needs evidence","Pending evidence","")))))</x:f>
        <x:v>Yes, subject to market/legal requirements</x:v>
      </x:c>
      <x:c r="I39" s="107" t="str">
        <x:f>IF(F39="","Pending",IF(F39="Approve recommendation","Approved",IF(F39="Modify / custom answer",IF(G39="","Action Required","Approved with modification"),IF(F39="Reject","Rejected",IF(F39="Defer","Deferred",IF(F39="Needs evidence","Evidence Required","Pending"))))))</x:f>
        <x:v>Approved</x:v>
      </x:c>
      <x:c r="J39" s="107" t="str">
        <x:v>High</x:v>
      </x:c>
      <x:c r="K39" s="110" t="str">
        <x:v>Brand Owner + Commercial Lead</x:v>
      </x:c>
      <x:c r="L39" s="110"/>
      <x:c r="M39" s="108" t="str">
        <x:v>Yes</x:v>
      </x:c>
      <x:c r="N39" s="108" t="str"/>
      <x:c r="O39" s="108" t="str">
        <x:v>V2 audit + V2 guideline</x:v>
      </x:c>
      <x:c r="P39" s="108" t="str">
        <x:v>SRC-01, SRC-02</x:v>
      </x:c>
      <x:c r="Q39" s="108" t="str"/>
      <x:c r="R39" s="108" t="str">
        <x:v>04 — Audience &amp; Journey</x:v>
      </x:c>
      <x:c r="S39" s="110" t="str">
        <x:v>ChatGPT prefill · 06 Oct 2026</x:v>
      </x:c>
    </x:row>
    <x:row r="40" ht="36" customHeight="1">
      <x:c r="A40" s="107" t="str">
        <x:v>D03</x:v>
      </x:c>
      <x:c r="B40" s="107" t="str">
        <x:v>Markets, audience and positioning</x:v>
      </x:c>
      <x:c r="C40" s="107" t="str">
        <x:v>Brand decision</x:v>
      </x:c>
      <x:c r="D40" s="108" t="str">
        <x:v>Is English the source language for V3.0?</x:v>
      </x:c>
      <x:c r="E40" s="108" t="str">
        <x:v>Yes</x:v>
      </x:c>
      <x:c r="F40" s="109" t="str">
        <x:v>Approve recommendation</x:v>
      </x:c>
      <x:c r="G40" s="110"/>
      <x:c r="H40" s="108" t="str">
        <x:f>IF(F40="Approve recommendation",E40,IF(F40="Modify / custom answer",G40,IF(F40="Reject","Rejected",IF(F40="Defer","Deferred",IF(F40="Needs evidence","Pending evidence","")))))</x:f>
        <x:v>Yes</x:v>
      </x:c>
      <x:c r="I40" s="107" t="str">
        <x:f>IF(F40="","Pending",IF(F40="Approve recommendation","Approved",IF(F40="Modify / custom answer",IF(G40="","Action Required","Approved with modification"),IF(F40="Reject","Rejected",IF(F40="Defer","Deferred",IF(F40="Needs evidence","Evidence Required","Pending"))))))</x:f>
        <x:v>Approved</x:v>
      </x:c>
      <x:c r="J40" s="107" t="str">
        <x:v>High</x:v>
      </x:c>
      <x:c r="K40" s="110" t="str">
        <x:v>Brand Owner + Commercial Lead</x:v>
      </x:c>
      <x:c r="L40" s="110"/>
      <x:c r="M40" s="108" t="str">
        <x:v>No</x:v>
      </x:c>
      <x:c r="N40" s="108" t="str"/>
      <x:c r="O40" s="108" t="str">
        <x:v>V2 audit + V2 guideline</x:v>
      </x:c>
      <x:c r="P40" s="108" t="str">
        <x:v>SRC-01, SRC-02</x:v>
      </x:c>
      <x:c r="Q40" s="108" t="str"/>
      <x:c r="R40" s="108" t="str">
        <x:v>04 — Audience &amp; Journey</x:v>
      </x:c>
      <x:c r="S40" s="110" t="str">
        <x:v>ChatGPT prefill · 06 Oct 2026</x:v>
      </x:c>
    </x:row>
    <x:row r="41" ht="36" customHeight="1">
      <x:c r="A41" s="107" t="str">
        <x:v>D04</x:v>
      </x:c>
      <x:c r="B41" s="107" t="str">
        <x:v>Markets, audience and positioning</x:v>
      </x:c>
      <x:c r="C41" s="107" t="str">
        <x:v>Decision + evidence</x:v>
      </x:c>
      <x:c r="D41" s="108" t="str">
        <x:v>Is Arabic required in the V3.0 release?</x:v>
      </x:c>
      <x:c r="E41" s="108" t="str">
        <x:v>Yes, if Saudi/GCC deployment is immediate</x:v>
      </x:c>
      <x:c r="F41" s="109" t="str">
        <x:v>Modify / custom answer</x:v>
      </x:c>
      <x:c r="G41" s="110" t="str">
        <x:v>Yes — Arabic is required for the Saudi/GCC V3.0 system. Production use remains pending native RTL/localization QA.</x:v>
      </x:c>
      <x:c r="H41" s="108" t="str">
        <x:f>IF(F41="Approve recommendation",E41,IF(F41="Modify / custom answer",G41,IF(F41="Reject","Rejected",IF(F41="Defer","Deferred",IF(F41="Needs evidence","Pending evidence","")))))</x:f>
        <x:v>Yes — Arabic is required for the Saudi/GCC V3.0 system. Production use remains pending native RTL/localization QA.</x:v>
      </x:c>
      <x:c r="I41" s="107" t="str">
        <x:f>IF(F41="","Pending",IF(F41="Approve recommendation","Approved",IF(F41="Modify / custom answer",IF(G41="","Action Required","Approved with modification"),IF(F41="Reject","Rejected",IF(F41="Defer","Deferred",IF(F41="Needs evidence","Evidence Required","Pending"))))))</x:f>
        <x:v>Approved with modification</x:v>
      </x:c>
      <x:c r="J41" s="107" t="str">
        <x:v>High</x:v>
      </x:c>
      <x:c r="K41" s="110" t="str">
        <x:v>Brand Owner + Commercial Lead</x:v>
      </x:c>
      <x:c r="L41" s="110" t="str">
        <x:v>Approved as the V3.0 consultant recommendation, grounded in the current GEM source system and best-practice review.</x:v>
      </x:c>
      <x:c r="M41" s="108" t="str">
        <x:v>No</x:v>
      </x:c>
      <x:c r="N41" s="108" t="str"/>
      <x:c r="O41" s="108" t="str">
        <x:v>V2 audit + V2 guideline</x:v>
      </x:c>
      <x:c r="P41" s="108" t="str">
        <x:v>SRC-01, SRC-02</x:v>
      </x:c>
      <x:c r="Q41" s="108" t="str"/>
      <x:c r="R41" s="108" t="str">
        <x:v>04 — Audience &amp; Journey</x:v>
      </x:c>
      <x:c r="S41" s="110" t="str">
        <x:v>ChatGPT prefill · 06 Oct 2026</x:v>
      </x:c>
    </x:row>
    <x:row r="42" ht="36" customHeight="1">
      <x:c r="A42" s="107" t="str">
        <x:v>D05</x:v>
      </x:c>
      <x:c r="B42" s="107" t="str">
        <x:v>Markets, audience and positioning</x:v>
      </x:c>
      <x:c r="C42" s="107" t="str">
        <x:v>Brand decision</x:v>
      </x:c>
      <x:c r="D42" s="108" t="str">
        <x:v>Primary guest audience definition</x:v>
      </x:c>
      <x:c r="E42" s="108" t="str">
        <x:v>Premium/luxury hospitality guests</x:v>
      </x:c>
      <x:c r="F42" s="109" t="str">
        <x:v>Approve recommendation</x:v>
      </x:c>
      <x:c r="G42" s="110"/>
      <x:c r="H42" s="108" t="str">
        <x:f>IF(F42="Approve recommendation",E42,IF(F42="Modify / custom answer",G42,IF(F42="Reject","Rejected",IF(F42="Defer","Deferred",IF(F42="Needs evidence","Pending evidence","")))))</x:f>
        <x:v>Premium/luxury hospitality guests</x:v>
      </x:c>
      <x:c r="I42" s="107" t="str">
        <x:f>IF(F42="","Pending",IF(F42="Approve recommendation","Approved",IF(F42="Modify / custom answer",IF(G42="","Action Required","Approved with modification"),IF(F42="Reject","Rejected",IF(F42="Defer","Deferred",IF(F42="Needs evidence","Evidence Required","Pending"))))))</x:f>
        <x:v>Approved</x:v>
      </x:c>
      <x:c r="J42" s="107" t="str">
        <x:v>High</x:v>
      </x:c>
      <x:c r="K42" s="110" t="str">
        <x:v>Brand Owner + Commercial Lead</x:v>
      </x:c>
      <x:c r="L42" s="110"/>
      <x:c r="M42" s="108" t="str">
        <x:v>No</x:v>
      </x:c>
      <x:c r="N42" s="108" t="str"/>
      <x:c r="O42" s="108" t="str">
        <x:v>V2 audit + V2 guideline</x:v>
      </x:c>
      <x:c r="P42" s="108" t="str">
        <x:v>SRC-01, SRC-02</x:v>
      </x:c>
      <x:c r="Q42" s="108" t="str"/>
      <x:c r="R42" s="108" t="str">
        <x:v>04 — Audience &amp; Journey</x:v>
      </x:c>
      <x:c r="S42" s="110" t="str">
        <x:v>ChatGPT prefill · 06 Oct 2026</x:v>
      </x:c>
    </x:row>
    <x:row r="43" ht="36" customHeight="1">
      <x:c r="A43" s="107" t="str">
        <x:v>D06</x:v>
      </x:c>
      <x:c r="B43" s="107" t="str">
        <x:v>Markets, audience and positioning</x:v>
      </x:c>
      <x:c r="C43" s="107" t="str">
        <x:v>Brand decision</x:v>
      </x:c>
      <x:c r="D43" s="108" t="str">
        <x:v>Should hospitality procurement be a formal B2B audience?</x:v>
      </x:c>
      <x:c r="E43" s="108" t="str">
        <x:v>Yes</x:v>
      </x:c>
      <x:c r="F43" s="109" t="str">
        <x:v>Approve recommendation</x:v>
      </x:c>
      <x:c r="G43" s="110"/>
      <x:c r="H43" s="108" t="str">
        <x:f>IF(F43="Approve recommendation",E43,IF(F43="Modify / custom answer",G43,IF(F43="Reject","Rejected",IF(F43="Defer","Deferred",IF(F43="Needs evidence","Pending evidence","")))))</x:f>
        <x:v>Yes</x:v>
      </x:c>
      <x:c r="I43" s="107" t="str">
        <x:f>IF(F43="","Pending",IF(F43="Approve recommendation","Approved",IF(F43="Modify / custom answer",IF(G43="","Action Required","Approved with modification"),IF(F43="Reject","Rejected",IF(F43="Defer","Deferred",IF(F43="Needs evidence","Evidence Required","Pending"))))))</x:f>
        <x:v>Approved</x:v>
      </x:c>
      <x:c r="J43" s="107" t="str">
        <x:v>High</x:v>
      </x:c>
      <x:c r="K43" s="110" t="str">
        <x:v>Brand Owner + Commercial Lead</x:v>
      </x:c>
      <x:c r="L43" s="110"/>
      <x:c r="M43" s="108" t="str">
        <x:v>No</x:v>
      </x:c>
      <x:c r="N43" s="108" t="str"/>
      <x:c r="O43" s="108" t="str">
        <x:v>V2 audit + V2 guideline</x:v>
      </x:c>
      <x:c r="P43" s="108" t="str">
        <x:v>SRC-01, SRC-02</x:v>
      </x:c>
      <x:c r="Q43" s="108" t="str"/>
      <x:c r="R43" s="108" t="str">
        <x:v>04 — Audience &amp; Journey</x:v>
      </x:c>
      <x:c r="S43" s="110" t="str">
        <x:v>ChatGPT prefill · 06 Oct 2026</x:v>
      </x:c>
    </x:row>
    <x:row r="44" ht="36" customHeight="1">
      <x:c r="A44" s="107" t="str">
        <x:v>D07</x:v>
      </x:c>
      <x:c r="B44" s="107" t="str">
        <x:v>Markets, audience and positioning</x:v>
      </x:c>
      <x:c r="C44" s="107" t="str">
        <x:v>Brand decision</x:v>
      </x:c>
      <x:c r="D44" s="108" t="str">
        <x:v>Should hotel operations teams be a formal B2B audience?</x:v>
      </x:c>
      <x:c r="E44" s="108" t="str">
        <x:v>Yes</x:v>
      </x:c>
      <x:c r="F44" s="109" t="str">
        <x:v>Approve recommendation</x:v>
      </x:c>
      <x:c r="G44" s="110"/>
      <x:c r="H44" s="108" t="str">
        <x:f>IF(F44="Approve recommendation",E44,IF(F44="Modify / custom answer",G44,IF(F44="Reject","Rejected",IF(F44="Defer","Deferred",IF(F44="Needs evidence","Pending evidence","")))))</x:f>
        <x:v>Yes</x:v>
      </x:c>
      <x:c r="I44" s="107" t="str">
        <x:f>IF(F44="","Pending",IF(F44="Approve recommendation","Approved",IF(F44="Modify / custom answer",IF(G44="","Action Required","Approved with modification"),IF(F44="Reject","Rejected",IF(F44="Defer","Deferred",IF(F44="Needs evidence","Evidence Required","Pending"))))))</x:f>
        <x:v>Approved</x:v>
      </x:c>
      <x:c r="J44" s="107" t="str">
        <x:v>High</x:v>
      </x:c>
      <x:c r="K44" s="110" t="str">
        <x:v>Brand Owner + Commercial Lead</x:v>
      </x:c>
      <x:c r="L44" s="110"/>
      <x:c r="M44" s="108" t="str">
        <x:v>No</x:v>
      </x:c>
      <x:c r="N44" s="108" t="str"/>
      <x:c r="O44" s="108" t="str">
        <x:v>V2 audit + V2 guideline</x:v>
      </x:c>
      <x:c r="P44" s="108" t="str">
        <x:v>SRC-01, SRC-02</x:v>
      </x:c>
      <x:c r="Q44" s="108" t="str"/>
      <x:c r="R44" s="108" t="str">
        <x:v>04 — Audience &amp; Journey</x:v>
      </x:c>
      <x:c r="S44" s="110" t="str">
        <x:v>ChatGPT prefill · 06 Oct 2026</x:v>
      </x:c>
    </x:row>
    <x:row r="45" ht="36" customHeight="1">
      <x:c r="A45" s="107" t="str">
        <x:v>D08</x:v>
      </x:c>
      <x:c r="B45" s="107" t="str">
        <x:v>Markets, audience and positioning</x:v>
      </x:c>
      <x:c r="C45" s="107" t="str">
        <x:v>Brand decision</x:v>
      </x:c>
      <x:c r="D45" s="108" t="str">
        <x:v>Should hotel brand/design teams be a formal audience?</x:v>
      </x:c>
      <x:c r="E45" s="108" t="str">
        <x:v>Yes</x:v>
      </x:c>
      <x:c r="F45" s="109" t="str">
        <x:v>Approve recommendation</x:v>
      </x:c>
      <x:c r="G45" s="110"/>
      <x:c r="H45" s="108" t="str">
        <x:f>IF(F45="Approve recommendation",E45,IF(F45="Modify / custom answer",G45,IF(F45="Reject","Rejected",IF(F45="Defer","Deferred",IF(F45="Needs evidence","Pending evidence","")))))</x:f>
        <x:v>Yes</x:v>
      </x:c>
      <x:c r="I45" s="107" t="str">
        <x:f>IF(F45="","Pending",IF(F45="Approve recommendation","Approved",IF(F45="Modify / custom answer",IF(G45="","Action Required","Approved with modification"),IF(F45="Reject","Rejected",IF(F45="Defer","Deferred",IF(F45="Needs evidence","Evidence Required","Pending"))))))</x:f>
        <x:v>Approved</x:v>
      </x:c>
      <x:c r="J45" s="107" t="str">
        <x:v>High</x:v>
      </x:c>
      <x:c r="K45" s="110" t="str">
        <x:v>Brand Owner + Commercial Lead</x:v>
      </x:c>
      <x:c r="L45" s="110"/>
      <x:c r="M45" s="108" t="str">
        <x:v>No</x:v>
      </x:c>
      <x:c r="N45" s="108" t="str"/>
      <x:c r="O45" s="108" t="str">
        <x:v>V2 audit + V2 guideline</x:v>
      </x:c>
      <x:c r="P45" s="108" t="str">
        <x:v>SRC-01, SRC-02</x:v>
      </x:c>
      <x:c r="Q45" s="108" t="str"/>
      <x:c r="R45" s="108" t="str">
        <x:v>04 — Audience &amp; Journey</x:v>
      </x:c>
      <x:c r="S45" s="110" t="str">
        <x:v>ChatGPT prefill · 06 Oct 2026</x:v>
      </x:c>
    </x:row>
    <x:row r="46" ht="36" customHeight="1">
      <x:c r="A46" s="107" t="str">
        <x:v>D09</x:v>
      </x:c>
      <x:c r="B46" s="107" t="str">
        <x:v>Markets, audience and positioning</x:v>
      </x:c>
      <x:c r="C46" s="107" t="str">
        <x:v>Brand decision</x:v>
      </x:c>
      <x:c r="D46" s="108" t="str">
        <x:v>Should hotel owners/developers be a formal audience?</x:v>
      </x:c>
      <x:c r="E46" s="108" t="str">
        <x:v>Yes</x:v>
      </x:c>
      <x:c r="F46" s="109" t="str">
        <x:v>Approve recommendation</x:v>
      </x:c>
      <x:c r="G46" s="110"/>
      <x:c r="H46" s="108" t="str">
        <x:f>IF(F46="Approve recommendation",E46,IF(F46="Modify / custom answer",G46,IF(F46="Reject","Rejected",IF(F46="Defer","Deferred",IF(F46="Needs evidence","Pending evidence","")))))</x:f>
        <x:v>Yes</x:v>
      </x:c>
      <x:c r="I46" s="107" t="str">
        <x:f>IF(F46="","Pending",IF(F46="Approve recommendation","Approved",IF(F46="Modify / custom answer",IF(G46="","Action Required","Approved with modification"),IF(F46="Reject","Rejected",IF(F46="Defer","Deferred",IF(F46="Needs evidence","Evidence Required","Pending"))))))</x:f>
        <x:v>Approved</x:v>
      </x:c>
      <x:c r="J46" s="107" t="str">
        <x:v>High</x:v>
      </x:c>
      <x:c r="K46" s="110" t="str">
        <x:v>Brand Owner + Commercial Lead</x:v>
      </x:c>
      <x:c r="L46" s="110"/>
      <x:c r="M46" s="108" t="str">
        <x:v>No</x:v>
      </x:c>
      <x:c r="N46" s="108" t="str"/>
      <x:c r="O46" s="108" t="str">
        <x:v>V2 audit + V2 guideline</x:v>
      </x:c>
      <x:c r="P46" s="108" t="str">
        <x:v>SRC-01, SRC-02</x:v>
      </x:c>
      <x:c r="Q46" s="108" t="str"/>
      <x:c r="R46" s="108" t="str">
        <x:v>04 — Audience &amp; Journey</x:v>
      </x:c>
      <x:c r="S46" s="110" t="str">
        <x:v>ChatGPT prefill · 06 Oct 2026</x:v>
      </x:c>
    </x:row>
    <x:row r="47" ht="36" customHeight="1">
      <x:c r="A47" s="107" t="str">
        <x:v>D10</x:v>
      </x:c>
      <x:c r="B47" s="107" t="str">
        <x:v>Markets, audience and positioning</x:v>
      </x:c>
      <x:c r="C47" s="107" t="str">
        <x:v>Brand decision</x:v>
      </x:c>
      <x:c r="D47" s="108" t="str">
        <x:v>Should each audience receive distinct messaging rather than one generic brand statement?</x:v>
      </x:c>
      <x:c r="E47" s="108" t="str">
        <x:v>Yes</x:v>
      </x:c>
      <x:c r="F47" s="109" t="str">
        <x:v>Approve recommendation</x:v>
      </x:c>
      <x:c r="G47" s="110"/>
      <x:c r="H47" s="108" t="str">
        <x:f>IF(F47="Approve recommendation",E47,IF(F47="Modify / custom answer",G47,IF(F47="Reject","Rejected",IF(F47="Defer","Deferred",IF(F47="Needs evidence","Pending evidence","")))))</x:f>
        <x:v>Yes</x:v>
      </x:c>
      <x:c r="I47" s="107" t="str">
        <x:f>IF(F47="","Pending",IF(F47="Approve recommendation","Approved",IF(F47="Modify / custom answer",IF(G47="","Action Required","Approved with modification"),IF(F47="Reject","Rejected",IF(F47="Defer","Deferred",IF(F47="Needs evidence","Evidence Required","Pending"))))))</x:f>
        <x:v>Approved</x:v>
      </x:c>
      <x:c r="J47" s="107" t="str">
        <x:v>High</x:v>
      </x:c>
      <x:c r="K47" s="110" t="str">
        <x:v>Brand Owner + Commercial Lead</x:v>
      </x:c>
      <x:c r="L47" s="110"/>
      <x:c r="M47" s="108" t="str">
        <x:v>No</x:v>
      </x:c>
      <x:c r="N47" s="108" t="str"/>
      <x:c r="O47" s="108" t="str">
        <x:v>V2 audit + V2 guideline</x:v>
      </x:c>
      <x:c r="P47" s="108" t="str">
        <x:v>SRC-01, SRC-02</x:v>
      </x:c>
      <x:c r="Q47" s="108" t="str"/>
      <x:c r="R47" s="108" t="str">
        <x:v>04 — Audience &amp; Journey</x:v>
      </x:c>
      <x:c r="S47" s="110" t="str">
        <x:v>ChatGPT prefill · 06 Oct 2026</x:v>
      </x:c>
    </x:row>
    <x:row r="48" ht="36" customHeight="1">
      <x:c r="A48" s="107" t="str">
        <x:v>D11</x:v>
      </x:c>
      <x:c r="B48" s="107" t="str">
        <x:v>Markets, audience and positioning</x:v>
      </x:c>
      <x:c r="C48" s="107" t="str">
        <x:v>Brand decision</x:v>
      </x:c>
      <x:c r="D48" s="108" t="str">
        <x:v>Should guest communications lead with experience and feeling?</x:v>
      </x:c>
      <x:c r="E48" s="108" t="str">
        <x:v>Yes</x:v>
      </x:c>
      <x:c r="F48" s="109" t="str">
        <x:v>Approve recommendation</x:v>
      </x:c>
      <x:c r="G48" s="110"/>
      <x:c r="H48" s="108" t="str">
        <x:f>IF(F48="Approve recommendation",E48,IF(F48="Modify / custom answer",G48,IF(F48="Reject","Rejected",IF(F48="Defer","Deferred",IF(F48="Needs evidence","Pending evidence","")))))</x:f>
        <x:v>Yes</x:v>
      </x:c>
      <x:c r="I48" s="107" t="str">
        <x:f>IF(F48="","Pending",IF(F48="Approve recommendation","Approved",IF(F48="Modify / custom answer",IF(G48="","Action Required","Approved with modification"),IF(F48="Reject","Rejected",IF(F48="Defer","Deferred",IF(F48="Needs evidence","Evidence Required","Pending"))))))</x:f>
        <x:v>Approved</x:v>
      </x:c>
      <x:c r="J48" s="107" t="str">
        <x:v>High</x:v>
      </x:c>
      <x:c r="K48" s="110" t="str">
        <x:v>Brand Owner + Commercial Lead</x:v>
      </x:c>
      <x:c r="L48" s="110"/>
      <x:c r="M48" s="108" t="str">
        <x:v>No</x:v>
      </x:c>
      <x:c r="N48" s="108" t="str"/>
      <x:c r="O48" s="108" t="str">
        <x:v>V2 audit + V2 guideline</x:v>
      </x:c>
      <x:c r="P48" s="108" t="str">
        <x:v>SRC-01, SRC-02</x:v>
      </x:c>
      <x:c r="Q48" s="108" t="str"/>
      <x:c r="R48" s="108" t="str">
        <x:v>04 — Audience &amp; Journey</x:v>
      </x:c>
      <x:c r="S48" s="110" t="str">
        <x:v>ChatGPT prefill · 06 Oct 2026</x:v>
      </x:c>
    </x:row>
    <x:row r="49" ht="36" customHeight="1">
      <x:c r="A49" s="107" t="str">
        <x:v>D12</x:v>
      </x:c>
      <x:c r="B49" s="107" t="str">
        <x:v>Markets, audience and positioning</x:v>
      </x:c>
      <x:c r="C49" s="107" t="str">
        <x:v>Decision + evidence</x:v>
      </x:c>
      <x:c r="D49" s="108" t="str">
        <x:v>Should B2B communications lead with clarity, capability, process and proof?</x:v>
      </x:c>
      <x:c r="E49" s="108" t="str">
        <x:v>Yes</x:v>
      </x:c>
      <x:c r="F49" s="109" t="str">
        <x:v>Approve recommendation</x:v>
      </x:c>
      <x:c r="G49" s="110"/>
      <x:c r="H49" s="108" t="str">
        <x:f>IF(F49="Approve recommendation",E49,IF(F49="Modify / custom answer",G49,IF(F49="Reject","Rejected",IF(F49="Defer","Deferred",IF(F49="Needs evidence","Pending evidence","")))))</x:f>
        <x:v>Yes</x:v>
      </x:c>
      <x:c r="I49" s="107" t="str">
        <x:f>IF(F49="","Pending",IF(F49="Approve recommendation","Approved",IF(F49="Modify / custom answer",IF(G49="","Action Required","Approved with modification"),IF(F49="Reject","Rejected",IF(F49="Defer","Deferred",IF(F49="Needs evidence","Evidence Required","Pending"))))))</x:f>
        <x:v>Approved</x:v>
      </x:c>
      <x:c r="J49" s="107" t="str">
        <x:v>High</x:v>
      </x:c>
      <x:c r="K49" s="110" t="str">
        <x:v>Brand Owner + Commercial Lead</x:v>
      </x:c>
      <x:c r="L49" s="110"/>
      <x:c r="M49" s="108" t="str">
        <x:v>Yes</x:v>
      </x:c>
      <x:c r="N49" s="108" t="str"/>
      <x:c r="O49" s="108" t="str">
        <x:v>V2 audit + V2 guideline</x:v>
      </x:c>
      <x:c r="P49" s="108" t="str">
        <x:v>SRC-01, SRC-02</x:v>
      </x:c>
      <x:c r="Q49" s="108" t="str"/>
      <x:c r="R49" s="108" t="str">
        <x:v>04 — Audience &amp; Journey</x:v>
      </x:c>
      <x:c r="S49" s="110" t="str">
        <x:v>ChatGPT prefill · 06 Oct 2026</x:v>
      </x:c>
    </x:row>
    <x:row r="50" ht="36" customHeight="1">
      <x:c r="A50" s="107" t="str">
        <x:v>D13</x:v>
      </x:c>
      <x:c r="B50" s="107" t="str">
        <x:v>Markets, audience and positioning</x:v>
      </x:c>
      <x:c r="C50" s="107" t="str">
        <x:v>Brand decision</x:v>
      </x:c>
      <x:c r="D50" s="108" t="str">
        <x:v>Should GEM deliberately avoid mass-market or promotional positioning?</x:v>
      </x:c>
      <x:c r="E50" s="108" t="str">
        <x:v>Yes</x:v>
      </x:c>
      <x:c r="F50" s="109" t="str">
        <x:v>Approve recommendation</x:v>
      </x:c>
      <x:c r="G50" s="110"/>
      <x:c r="H50" s="108" t="str">
        <x:f>IF(F50="Approve recommendation",E50,IF(F50="Modify / custom answer",G50,IF(F50="Reject","Rejected",IF(F50="Defer","Deferred",IF(F50="Needs evidence","Pending evidence","")))))</x:f>
        <x:v>Yes</x:v>
      </x:c>
      <x:c r="I50" s="107" t="str">
        <x:f>IF(F50="","Pending",IF(F50="Approve recommendation","Approved",IF(F50="Modify / custom answer",IF(G50="","Action Required","Approved with modification"),IF(F50="Reject","Rejected",IF(F50="Defer","Deferred",IF(F50="Needs evidence","Evidence Required","Pending"))))))</x:f>
        <x:v>Approved</x:v>
      </x:c>
      <x:c r="J50" s="107" t="str">
        <x:v>High</x:v>
      </x:c>
      <x:c r="K50" s="110" t="str">
        <x:v>Brand Owner + Commercial Lead</x:v>
      </x:c>
      <x:c r="L50" s="110"/>
      <x:c r="M50" s="108" t="str">
        <x:v>No</x:v>
      </x:c>
      <x:c r="N50" s="108" t="str"/>
      <x:c r="O50" s="108" t="str">
        <x:v>V2 audit + V2 guideline</x:v>
      </x:c>
      <x:c r="P50" s="108" t="str">
        <x:v>SRC-01, SRC-02</x:v>
      </x:c>
      <x:c r="Q50" s="108" t="str"/>
      <x:c r="R50" s="108" t="str">
        <x:v>04 — Audience &amp; Journey</x:v>
      </x:c>
      <x:c r="S50" s="110" t="str">
        <x:v>ChatGPT prefill · 06 Oct 2026</x:v>
      </x:c>
    </x:row>
    <x:row r="51" ht="36" customHeight="1">
      <x:c r="A51" s="107" t="str">
        <x:v>D14</x:v>
      </x:c>
      <x:c r="B51" s="107" t="str">
        <x:v>Markets, audience and positioning</x:v>
      </x:c>
      <x:c r="C51" s="107" t="str">
        <x:v>Brand decision</x:v>
      </x:c>
      <x:c r="D51" s="108" t="str">
        <x:v>Should price/value messaging ever become part of the master brand platform?</x:v>
      </x:c>
      <x:c r="E51" s="108" t="str">
        <x:v>No, unless commercial strategy requires it</x:v>
      </x:c>
      <x:c r="F51" s="109" t="str">
        <x:v>Approve recommendation</x:v>
      </x:c>
      <x:c r="G51" s="110"/>
      <x:c r="H51" s="108" t="str">
        <x:f>IF(F51="Approve recommendation",E51,IF(F51="Modify / custom answer",G51,IF(F51="Reject","Rejected",IF(F51="Defer","Deferred",IF(F51="Needs evidence","Pending evidence","")))))</x:f>
        <x:v>No, unless commercial strategy requires it</x:v>
      </x:c>
      <x:c r="I51" s="107" t="str">
        <x:f>IF(F51="","Pending",IF(F51="Approve recommendation","Approved",IF(F51="Modify / custom answer",IF(G51="","Action Required","Approved with modification"),IF(F51="Reject","Rejected",IF(F51="Defer","Deferred",IF(F51="Needs evidence","Evidence Required","Pending"))))))</x:f>
        <x:v>Approved</x:v>
      </x:c>
      <x:c r="J51" s="107" t="str">
        <x:v>High</x:v>
      </x:c>
      <x:c r="K51" s="110" t="str">
        <x:v>Brand Owner + Commercial Lead</x:v>
      </x:c>
      <x:c r="L51" s="110"/>
      <x:c r="M51" s="108" t="str">
        <x:v>No</x:v>
      </x:c>
      <x:c r="N51" s="108" t="str"/>
      <x:c r="O51" s="108" t="str">
        <x:v>V2 audit + V2 guideline</x:v>
      </x:c>
      <x:c r="P51" s="108" t="str">
        <x:v>SRC-01, SRC-02</x:v>
      </x:c>
      <x:c r="Q51" s="108" t="str"/>
      <x:c r="R51" s="108" t="str">
        <x:v>04 — Audience &amp; Journey</x:v>
      </x:c>
      <x:c r="S51" s="110" t="str">
        <x:v>ChatGPT prefill · 06 Oct 2026</x:v>
      </x:c>
    </x:row>
    <x:row r="52" ht="36" customHeight="1">
      <x:c r="A52" s="107" t="str">
        <x:v>E01</x:v>
      </x:c>
      <x:c r="B52" s="107" t="str">
        <x:v>Commercial offer</x:v>
      </x:c>
      <x:c r="C52" s="107" t="str">
        <x:v>Decision + evidence</x:v>
      </x:c>
      <x:c r="D52" s="108" t="str">
        <x:v>Does GEM officially provide product/amenity design?</x:v>
      </x:c>
      <x:c r="E52" s="108" t="str">
        <x:v>Confirm</x:v>
      </x:c>
      <x:c r="F52" s="109" t="str">
        <x:v>Modify / custom answer</x:v>
      </x:c>
      <x:c r="G52" s="110" t="str">
        <x:v>Yes — product/amenity design is part of the target Amenities &amp; Packaging offer. External capability claims remain conditional on operational validation.</x:v>
      </x:c>
      <x:c r="H52" s="108" t="str">
        <x:f>IF(F52="Approve recommendation",E52,IF(F52="Modify / custom answer",G52,IF(F52="Reject","Rejected",IF(F52="Defer","Deferred",IF(F52="Needs evidence","Pending evidence","")))))</x:f>
        <x:v>Yes — product/amenity design is part of the target Amenities &amp; Packaging offer. External capability claims remain conditional on operational validation.</x:v>
      </x:c>
      <x:c r="I52" s="107" t="str">
        <x:f>IF(F52="","Pending",IF(F52="Approve recommendation","Approved",IF(F52="Modify / custom answer",IF(G52="","Action Required","Approved with modification"),IF(F52="Reject","Rejected",IF(F52="Defer","Deferred",IF(F52="Needs evidence","Evidence Required","Pending"))))))</x:f>
        <x:v>Approved with modification</x:v>
      </x:c>
      <x:c r="J52" s="107" t="str">
        <x:v>Critical</x:v>
      </x:c>
      <x:c r="K52" s="110" t="str">
        <x:v>Commercial Lead + Product / Amenities Lead</x:v>
      </x:c>
      <x:c r="L52" s="110" t="str">
        <x:v>Consultant strategic decision for the target offer architecture. Treat outward-facing capability claims as CONDITIONAL until VAL-01 and supporting operating evidence are completed.</x:v>
      </x:c>
      <x:c r="M52" s="108" t="str">
        <x:v>No</x:v>
      </x:c>
      <x:c r="N52" s="108" t="str"/>
      <x:c r="O52" s="108" t="str">
        <x:v>V2 audit</x:v>
      </x:c>
      <x:c r="P52" s="108" t="str">
        <x:v>SRC-02</x:v>
      </x:c>
      <x:c r="Q52" s="108" t="str"/>
      <x:c r="R52" s="108" t="str">
        <x:v>03 — Brand Architecture</x:v>
      </x:c>
      <x:c r="S52" s="110" t="str">
        <x:v>ChatGPT prefill · 06 Oct 2026</x:v>
      </x:c>
    </x:row>
    <x:row r="53" ht="36" customHeight="1">
      <x:c r="A53" s="107" t="str">
        <x:v>E02</x:v>
      </x:c>
      <x:c r="B53" s="107" t="str">
        <x:v>Commercial offer</x:v>
      </x:c>
      <x:c r="C53" s="107" t="str">
        <x:v>Decision + evidence</x:v>
      </x:c>
      <x:c r="D53" s="108" t="str">
        <x:v>Does GEM officially provide packaging design?</x:v>
      </x:c>
      <x:c r="E53" s="108" t="str">
        <x:v>Confirm</x:v>
      </x:c>
      <x:c r="F53" s="109" t="str">
        <x:v>Modify / custom answer</x:v>
      </x:c>
      <x:c r="G53" s="110" t="str">
        <x:v>Yes — packaging design is part of the target Amenities &amp; Packaging offer. External capability claims remain conditional on operational validation.</x:v>
      </x:c>
      <x:c r="H53" s="108" t="str">
        <x:f>IF(F53="Approve recommendation",E53,IF(F53="Modify / custom answer",G53,IF(F53="Reject","Rejected",IF(F53="Defer","Deferred",IF(F53="Needs evidence","Pending evidence","")))))</x:f>
        <x:v>Yes — packaging design is part of the target Amenities &amp; Packaging offer. External capability claims remain conditional on operational validation.</x:v>
      </x:c>
      <x:c r="I53" s="107" t="str">
        <x:f>IF(F53="","Pending",IF(F53="Approve recommendation","Approved",IF(F53="Modify / custom answer",IF(G53="","Action Required","Approved with modification"),IF(F53="Reject","Rejected",IF(F53="Defer","Deferred",IF(F53="Needs evidence","Evidence Required","Pending"))))))</x:f>
        <x:v>Approved with modification</x:v>
      </x:c>
      <x:c r="J53" s="107" t="str">
        <x:v>Critical</x:v>
      </x:c>
      <x:c r="K53" s="110" t="str">
        <x:v>Commercial Lead + Product / Amenities Lead</x:v>
      </x:c>
      <x:c r="L53" s="110" t="str">
        <x:v>Consultant strategic decision for the target offer architecture. Treat outward-facing capability claims as CONDITIONAL until VAL-01 and supporting operating evidence are completed.</x:v>
      </x:c>
      <x:c r="M53" s="108" t="str">
        <x:v>No</x:v>
      </x:c>
      <x:c r="N53" s="108" t="str"/>
      <x:c r="O53" s="108" t="str">
        <x:v>V2 audit</x:v>
      </x:c>
      <x:c r="P53" s="108" t="str">
        <x:v>SRC-02</x:v>
      </x:c>
      <x:c r="Q53" s="108" t="str"/>
      <x:c r="R53" s="108" t="str">
        <x:v>03 — Brand Architecture</x:v>
      </x:c>
      <x:c r="S53" s="110" t="str">
        <x:v>ChatGPT prefill · 06 Oct 2026</x:v>
      </x:c>
    </x:row>
    <x:row r="54" ht="36" customHeight="1">
      <x:c r="A54" s="107" t="str">
        <x:v>E03</x:v>
      </x:c>
      <x:c r="B54" s="107" t="str">
        <x:v>Commercial offer</x:v>
      </x:c>
      <x:c r="C54" s="107" t="str">
        <x:v>Decision + evidence</x:v>
      </x:c>
      <x:c r="D54" s="108" t="str">
        <x:v>Does GEM officially provide product sourcing?</x:v>
      </x:c>
      <x:c r="E54" s="108" t="str">
        <x:v>Confirm</x:v>
      </x:c>
      <x:c r="F54" s="109" t="str">
        <x:v>Modify / custom answer</x:v>
      </x:c>
      <x:c r="G54" s="110" t="str">
        <x:v>Yes — include sourcing/selection as a target capability, without implying owned manufacturing.</x:v>
      </x:c>
      <x:c r="H54" s="108" t="str">
        <x:f>IF(F54="Approve recommendation",E54,IF(F54="Modify / custom answer",G54,IF(F54="Reject","Rejected",IF(F54="Defer","Deferred",IF(F54="Needs evidence","Pending evidence","")))))</x:f>
        <x:v>Yes — include sourcing/selection as a target capability, without implying owned manufacturing.</x:v>
      </x:c>
      <x:c r="I54" s="107" t="str">
        <x:f>IF(F54="","Pending",IF(F54="Approve recommendation","Approved",IF(F54="Modify / custom answer",IF(G54="","Action Required","Approved with modification"),IF(F54="Reject","Rejected",IF(F54="Defer","Deferred",IF(F54="Needs evidence","Evidence Required","Pending"))))))</x:f>
        <x:v>Approved with modification</x:v>
      </x:c>
      <x:c r="J54" s="107" t="str">
        <x:v>Critical</x:v>
      </x:c>
      <x:c r="K54" s="110" t="str">
        <x:v>Commercial Lead + Product / Amenities Lead</x:v>
      </x:c>
      <x:c r="L54" s="110" t="str">
        <x:v>Consultant strategic decision for the target offer architecture. Treat outward-facing capability claims as CONDITIONAL until VAL-01 and supporting operating evidence are completed.</x:v>
      </x:c>
      <x:c r="M54" s="108" t="str">
        <x:v>No</x:v>
      </x:c>
      <x:c r="N54" s="108" t="str"/>
      <x:c r="O54" s="108" t="str">
        <x:v>V2 audit</x:v>
      </x:c>
      <x:c r="P54" s="108" t="str">
        <x:v>SRC-02</x:v>
      </x:c>
      <x:c r="Q54" s="108" t="str"/>
      <x:c r="R54" s="108" t="str">
        <x:v>03 — Brand Architecture</x:v>
      </x:c>
      <x:c r="S54" s="110" t="str">
        <x:v>ChatGPT prefill · 06 Oct 2026</x:v>
      </x:c>
    </x:row>
    <x:row r="55" ht="36" customHeight="1">
      <x:c r="A55" s="107" t="str">
        <x:v>E04</x:v>
      </x:c>
      <x:c r="B55" s="107" t="str">
        <x:v>Commercial offer</x:v>
      </x:c>
      <x:c r="C55" s="107" t="str">
        <x:v>Decision + evidence</x:v>
      </x:c>
      <x:c r="D55" s="108" t="str">
        <x:v>Does GEM officially provide product customization?</x:v>
      </x:c>
      <x:c r="E55" s="108" t="str">
        <x:v>Confirm</x:v>
      </x:c>
      <x:c r="F55" s="109" t="str">
        <x:v>Modify / custom answer</x:v>
      </x:c>
      <x:c r="G55" s="110" t="str">
        <x:v>Yes — product and packaging customization is a core target capability.</x:v>
      </x:c>
      <x:c r="H55" s="108" t="str">
        <x:f>IF(F55="Approve recommendation",E55,IF(F55="Modify / custom answer",G55,IF(F55="Reject","Rejected",IF(F55="Defer","Deferred",IF(F55="Needs evidence","Pending evidence","")))))</x:f>
        <x:v>Yes — product and packaging customization is a core target capability.</x:v>
      </x:c>
      <x:c r="I55" s="107" t="str">
        <x:f>IF(F55="","Pending",IF(F55="Approve recommendation","Approved",IF(F55="Modify / custom answer",IF(G55="","Action Required","Approved with modification"),IF(F55="Reject","Rejected",IF(F55="Defer","Deferred",IF(F55="Needs evidence","Evidence Required","Pending"))))))</x:f>
        <x:v>Approved with modification</x:v>
      </x:c>
      <x:c r="J55" s="107" t="str">
        <x:v>Critical</x:v>
      </x:c>
      <x:c r="K55" s="110" t="str">
        <x:v>Commercial Lead + Product / Amenities Lead</x:v>
      </x:c>
      <x:c r="L55" s="110" t="str">
        <x:v>Consultant strategic decision for the target offer architecture. Treat outward-facing capability claims as CONDITIONAL until VAL-01 and supporting operating evidence are completed.</x:v>
      </x:c>
      <x:c r="M55" s="108" t="str">
        <x:v>No</x:v>
      </x:c>
      <x:c r="N55" s="108" t="str"/>
      <x:c r="O55" s="108" t="str">
        <x:v>V2 audit</x:v>
      </x:c>
      <x:c r="P55" s="108" t="str">
        <x:v>SRC-02</x:v>
      </x:c>
      <x:c r="Q55" s="108" t="str"/>
      <x:c r="R55" s="108" t="str">
        <x:v>03 — Brand Architecture</x:v>
      </x:c>
      <x:c r="S55" s="110" t="str">
        <x:v>ChatGPT prefill · 06 Oct 2026</x:v>
      </x:c>
    </x:row>
    <x:row r="56" ht="36" customHeight="1">
      <x:c r="A56" s="107" t="str">
        <x:v>E05</x:v>
      </x:c>
      <x:c r="B56" s="107" t="str">
        <x:v>Commercial offer</x:v>
      </x:c>
      <x:c r="C56" s="107" t="str">
        <x:v>Decision + evidence</x:v>
      </x:c>
      <x:c r="D56" s="108" t="str">
        <x:v>Does GEM officially provide private-label development?</x:v>
      </x:c>
      <x:c r="E56" s="108" t="str">
        <x:v>Confirm</x:v>
      </x:c>
      <x:c r="F56" s="109" t="str">
        <x:v>Modify / custom answer</x:v>
      </x:c>
      <x:c r="G56" s="110" t="str">
        <x:v>Yes — support private-label/property-edition development under the GEM master brand architecture.</x:v>
      </x:c>
      <x:c r="H56" s="108" t="str">
        <x:f>IF(F56="Approve recommendation",E56,IF(F56="Modify / custom answer",G56,IF(F56="Reject","Rejected",IF(F56="Defer","Deferred",IF(F56="Needs evidence","Pending evidence","")))))</x:f>
        <x:v>Yes — support private-label/property-edition development under the GEM master brand architecture.</x:v>
      </x:c>
      <x:c r="I56" s="107" t="str">
        <x:f>IF(F56="","Pending",IF(F56="Approve recommendation","Approved",IF(F56="Modify / custom answer",IF(G56="","Action Required","Approved with modification"),IF(F56="Reject","Rejected",IF(F56="Defer","Deferred",IF(F56="Needs evidence","Evidence Required","Pending"))))))</x:f>
        <x:v>Approved with modification</x:v>
      </x:c>
      <x:c r="J56" s="107" t="str">
        <x:v>Critical</x:v>
      </x:c>
      <x:c r="K56" s="110" t="str">
        <x:v>Commercial Lead + Product / Amenities Lead</x:v>
      </x:c>
      <x:c r="L56" s="110" t="str">
        <x:v>Consultant strategic decision for the target offer architecture. Treat outward-facing capability claims as CONDITIONAL until VAL-01 and supporting operating evidence are completed.</x:v>
      </x:c>
      <x:c r="M56" s="108" t="str">
        <x:v>No</x:v>
      </x:c>
      <x:c r="N56" s="108" t="str"/>
      <x:c r="O56" s="108" t="str">
        <x:v>V2 audit</x:v>
      </x:c>
      <x:c r="P56" s="108" t="str">
        <x:v>SRC-02</x:v>
      </x:c>
      <x:c r="Q56" s="108" t="str"/>
      <x:c r="R56" s="108" t="str">
        <x:v>03 — Brand Architecture</x:v>
      </x:c>
      <x:c r="S56" s="110" t="str">
        <x:v>ChatGPT prefill · 06 Oct 2026</x:v>
      </x:c>
    </x:row>
    <x:row r="57" ht="36" customHeight="1">
      <x:c r="A57" s="107" t="str">
        <x:v>E06</x:v>
      </x:c>
      <x:c r="B57" s="107" t="str">
        <x:v>Commercial offer</x:v>
      </x:c>
      <x:c r="C57" s="107" t="str">
        <x:v>Brand decision</x:v>
      </x:c>
      <x:c r="D57" s="108" t="str">
        <x:v>Does GEM officially provide manufacturing?</x:v>
      </x:c>
      <x:c r="E57" s="108" t="str">
        <x:v>Do not claim unless directly true</x:v>
      </x:c>
      <x:c r="F57" s="109" t="str">
        <x:v>Modify / custom answer</x:v>
      </x:c>
      <x:c r="G57" s="110" t="str">
        <x:v>No — do not claim GEM is the direct manufacturer unless that becomes demonstrably true. Position GEM as design, sourcing, customization and manufacturing-coordination partner.</x:v>
      </x:c>
      <x:c r="H57" s="108" t="str">
        <x:f>IF(F57="Approve recommendation",E57,IF(F57="Modify / custom answer",G57,IF(F57="Reject","Rejected",IF(F57="Defer","Deferred",IF(F57="Needs evidence","Pending evidence","")))))</x:f>
        <x:v>No — do not claim GEM is the direct manufacturer unless that becomes demonstrably true. Position GEM as design, sourcing, customization and manufacturing-coordination partner.</x:v>
      </x:c>
      <x:c r="I57" s="107" t="str">
        <x:f>IF(F57="","Pending",IF(F57="Approve recommendation","Approved",IF(F57="Modify / custom answer",IF(G57="","Action Required","Approved with modification"),IF(F57="Reject","Rejected",IF(F57="Defer","Deferred",IF(F57="Needs evidence","Evidence Required","Pending"))))))</x:f>
        <x:v>Approved with modification</x:v>
      </x:c>
      <x:c r="J57" s="107" t="str">
        <x:v>Critical</x:v>
      </x:c>
      <x:c r="K57" s="110" t="str">
        <x:v>Commercial Lead + Product / Amenities Lead</x:v>
      </x:c>
      <x:c r="L57" s="110" t="str">
        <x:v>Consultant strategic decision for the target offer architecture. Treat outward-facing capability claims as CONDITIONAL until VAL-01 and supporting operating evidence are completed.</x:v>
      </x:c>
      <x:c r="M57" s="108" t="str">
        <x:v>Yes</x:v>
      </x:c>
      <x:c r="N57" s="108" t="str"/>
      <x:c r="O57" s="108" t="str">
        <x:v>V2 audit</x:v>
      </x:c>
      <x:c r="P57" s="108" t="str">
        <x:v>SRC-02</x:v>
      </x:c>
      <x:c r="Q57" s="108" t="str"/>
      <x:c r="R57" s="108" t="str">
        <x:v>03 — Brand Architecture</x:v>
      </x:c>
      <x:c r="S57" s="110" t="str">
        <x:v>ChatGPT prefill · 06 Oct 2026</x:v>
      </x:c>
    </x:row>
    <x:row r="58" ht="36" customHeight="1">
      <x:c r="A58" s="107" t="str">
        <x:v>E07</x:v>
      </x:c>
      <x:c r="B58" s="107" t="str">
        <x:v>Commercial offer</x:v>
      </x:c>
      <x:c r="C58" s="107" t="str">
        <x:v>Brand decision</x:v>
      </x:c>
      <x:c r="D58" s="108" t="str">
        <x:v>Does GEM officially provide manufacturing coordination?</x:v>
      </x:c>
      <x:c r="E58" s="108" t="str">
        <x:v>Likely more appropriate than “manufacturing” unless verified</x:v>
      </x:c>
      <x:c r="F58" s="109" t="str">
        <x:v>Modify / custom answer</x:v>
      </x:c>
      <x:c r="G58" s="110" t="str">
        <x:v>Yes — manufacturing coordination is part of the target offer, subject to supplier capability, contracting and QA evidence.</x:v>
      </x:c>
      <x:c r="H58" s="108" t="str">
        <x:f>IF(F58="Approve recommendation",E58,IF(F58="Modify / custom answer",G58,IF(F58="Reject","Rejected",IF(F58="Defer","Deferred",IF(F58="Needs evidence","Pending evidence","")))))</x:f>
        <x:v>Yes — manufacturing coordination is part of the target offer, subject to supplier capability, contracting and QA evidence.</x:v>
      </x:c>
      <x:c r="I58" s="107" t="str">
        <x:f>IF(F58="","Pending",IF(F58="Approve recommendation","Approved",IF(F58="Modify / custom answer",IF(G58="","Action Required","Approved with modification"),IF(F58="Reject","Rejected",IF(F58="Defer","Deferred",IF(F58="Needs evidence","Evidence Required","Pending"))))))</x:f>
        <x:v>Approved with modification</x:v>
      </x:c>
      <x:c r="J58" s="107" t="str">
        <x:v>Critical</x:v>
      </x:c>
      <x:c r="K58" s="110" t="str">
        <x:v>Commercial Lead + Product / Amenities Lead</x:v>
      </x:c>
      <x:c r="L58" s="110" t="str">
        <x:v>Consultant strategic decision for the target offer architecture. Treat outward-facing capability claims as CONDITIONAL until VAL-01 and supporting operating evidence are completed.</x:v>
      </x:c>
      <x:c r="M58" s="108" t="str">
        <x:v>Yes</x:v>
      </x:c>
      <x:c r="N58" s="108" t="str"/>
      <x:c r="O58" s="108" t="str">
        <x:v>V2 audit</x:v>
      </x:c>
      <x:c r="P58" s="108" t="str">
        <x:v>SRC-02</x:v>
      </x:c>
      <x:c r="Q58" s="108" t="str"/>
      <x:c r="R58" s="108" t="str">
        <x:v>03 — Brand Architecture</x:v>
      </x:c>
      <x:c r="S58" s="110" t="str">
        <x:v>ChatGPT prefill · 06 Oct 2026</x:v>
      </x:c>
    </x:row>
    <x:row r="59" ht="36" customHeight="1">
      <x:c r="A59" s="107" t="str">
        <x:v>E08</x:v>
      </x:c>
      <x:c r="B59" s="107" t="str">
        <x:v>Commercial offer</x:v>
      </x:c>
      <x:c r="C59" s="107" t="str">
        <x:v>Decision + evidence</x:v>
      </x:c>
      <x:c r="D59" s="108" t="str">
        <x:v>Does GEM officially provide supplier management?</x:v>
      </x:c>
      <x:c r="E59" s="108" t="str">
        <x:v>Confirm</x:v>
      </x:c>
      <x:c r="F59" s="109" t="str">
        <x:v>Modify / custom answer</x:v>
      </x:c>
      <x:c r="G59" s="110" t="str">
        <x:v>Yes — supplier management may be part of the target offer, with responsibilities explicitly defined in commercial and supplier documentation.</x:v>
      </x:c>
      <x:c r="H59" s="108" t="str">
        <x:f>IF(F59="Approve recommendation",E59,IF(F59="Modify / custom answer",G59,IF(F59="Reject","Rejected",IF(F59="Defer","Deferred",IF(F59="Needs evidence","Pending evidence","")))))</x:f>
        <x:v>Yes — supplier management may be part of the target offer, with responsibilities explicitly defined in commercial and supplier documentation.</x:v>
      </x:c>
      <x:c r="I59" s="107" t="str">
        <x:f>IF(F59="","Pending",IF(F59="Approve recommendation","Approved",IF(F59="Modify / custom answer",IF(G59="","Action Required","Approved with modification"),IF(F59="Reject","Rejected",IF(F59="Defer","Deferred",IF(F59="Needs evidence","Evidence Required","Pending"))))))</x:f>
        <x:v>Approved with modification</x:v>
      </x:c>
      <x:c r="J59" s="107" t="str">
        <x:v>Critical</x:v>
      </x:c>
      <x:c r="K59" s="110" t="str">
        <x:v>Commercial Lead + Product / Amenities Lead</x:v>
      </x:c>
      <x:c r="L59" s="110" t="str">
        <x:v>Consultant strategic decision for the target offer architecture. Treat outward-facing capability claims as CONDITIONAL until VAL-01 and supporting operating evidence are completed.</x:v>
      </x:c>
      <x:c r="M59" s="108" t="str">
        <x:v>Yes</x:v>
      </x:c>
      <x:c r="N59" s="108" t="str"/>
      <x:c r="O59" s="108" t="str">
        <x:v>V2 audit</x:v>
      </x:c>
      <x:c r="P59" s="108" t="str">
        <x:v>SRC-02</x:v>
      </x:c>
      <x:c r="Q59" s="108" t="str"/>
      <x:c r="R59" s="108" t="str">
        <x:v>03 — Brand Architecture</x:v>
      </x:c>
      <x:c r="S59" s="110" t="str">
        <x:v>ChatGPT prefill · 06 Oct 2026</x:v>
      </x:c>
    </x:row>
    <x:row r="60" ht="36" customHeight="1">
      <x:c r="A60" s="107" t="str">
        <x:v>E09</x:v>
      </x:c>
      <x:c r="B60" s="107" t="str">
        <x:v>Commercial offer</x:v>
      </x:c>
      <x:c r="C60" s="107" t="str">
        <x:v>Decision + evidence</x:v>
      </x:c>
      <x:c r="D60" s="108" t="str">
        <x:v>Does GEM officially provide quality assurance?</x:v>
      </x:c>
      <x:c r="E60" s="108" t="str">
        <x:v>Confirm exact level</x:v>
      </x:c>
      <x:c r="F60" s="109" t="str">
        <x:v>Modify / custom answer</x:v>
      </x:c>
      <x:c r="G60" s="110" t="str">
        <x:v>Yes — limit GEM's QA claim to brand/product quality coordination, proofing and supplier acceptance. Do not imply laboratory, regulatory or certification authority unless separately qualified.</x:v>
      </x:c>
      <x:c r="H60" s="108" t="str">
        <x:f>IF(F60="Approve recommendation",E60,IF(F60="Modify / custom answer",G60,IF(F60="Reject","Rejected",IF(F60="Defer","Deferred",IF(F60="Needs evidence","Pending evidence","")))))</x:f>
        <x:v>Yes — limit GEM's QA claim to brand/product quality coordination, proofing and supplier acceptance. Do not imply laboratory, regulatory or certification authority unless separately qualified.</x:v>
      </x:c>
      <x:c r="I60" s="107" t="str">
        <x:f>IF(F60="","Pending",IF(F60="Approve recommendation","Approved",IF(F60="Modify / custom answer",IF(G60="","Action Required","Approved with modification"),IF(F60="Reject","Rejected",IF(F60="Defer","Deferred",IF(F60="Needs evidence","Evidence Required","Pending"))))))</x:f>
        <x:v>Approved with modification</x:v>
      </x:c>
      <x:c r="J60" s="107" t="str">
        <x:v>Critical</x:v>
      </x:c>
      <x:c r="K60" s="110" t="str">
        <x:v>Commercial Lead + Product / Amenities Lead</x:v>
      </x:c>
      <x:c r="L60" s="110" t="str">
        <x:v>Consultant strategic decision for the target offer architecture. Treat outward-facing capability claims as CONDITIONAL until VAL-01 and supporting operating evidence are completed.</x:v>
      </x:c>
      <x:c r="M60" s="108" t="str">
        <x:v>No</x:v>
      </x:c>
      <x:c r="N60" s="108" t="str"/>
      <x:c r="O60" s="108" t="str">
        <x:v>V2 audit</x:v>
      </x:c>
      <x:c r="P60" s="108" t="str">
        <x:v>SRC-02</x:v>
      </x:c>
      <x:c r="Q60" s="108" t="str"/>
      <x:c r="R60" s="108" t="str">
        <x:v>03 — Brand Architecture</x:v>
      </x:c>
      <x:c r="S60" s="110" t="str">
        <x:v>ChatGPT prefill · 06 Oct 2026</x:v>
      </x:c>
    </x:row>
    <x:row r="61" ht="36" customHeight="1">
      <x:c r="A61" s="107" t="str">
        <x:v>E10</x:v>
      </x:c>
      <x:c r="B61" s="107" t="str">
        <x:v>Commercial offer</x:v>
      </x:c>
      <x:c r="C61" s="107" t="str">
        <x:v>Decision + evidence</x:v>
      </x:c>
      <x:c r="D61" s="108" t="str">
        <x:v>Does GEM officially provide warehousing?</x:v>
      </x:c>
      <x:c r="E61" s="108" t="str">
        <x:v>Confirm</x:v>
      </x:c>
      <x:c r="F61" s="109" t="str">
        <x:v>Modify / custom answer</x:v>
      </x:c>
      <x:c r="G61" s="110" t="str">
        <x:v>No as a core brand capability. Do not claim warehousing until a real operating model and responsibility are established.</x:v>
      </x:c>
      <x:c r="H61" s="108" t="str">
        <x:f>IF(F61="Approve recommendation",E61,IF(F61="Modify / custom answer",G61,IF(F61="Reject","Rejected",IF(F61="Defer","Deferred",IF(F61="Needs evidence","Pending evidence","")))))</x:f>
        <x:v>No as a core brand capability. Do not claim warehousing until a real operating model and responsibility are established.</x:v>
      </x:c>
      <x:c r="I61" s="107" t="str">
        <x:f>IF(F61="","Pending",IF(F61="Approve recommendation","Approved",IF(F61="Modify / custom answer",IF(G61="","Action Required","Approved with modification"),IF(F61="Reject","Rejected",IF(F61="Defer","Deferred",IF(F61="Needs evidence","Evidence Required","Pending"))))))</x:f>
        <x:v>Approved with modification</x:v>
      </x:c>
      <x:c r="J61" s="107" t="str">
        <x:v>Critical</x:v>
      </x:c>
      <x:c r="K61" s="110" t="str">
        <x:v>Commercial Lead + Product / Amenities Lead</x:v>
      </x:c>
      <x:c r="L61" s="110" t="str">
        <x:v>Consultant strategic decision for the target offer architecture. Treat outward-facing capability claims as CONDITIONAL until VAL-01 and supporting operating evidence are completed.</x:v>
      </x:c>
      <x:c r="M61" s="108" t="str">
        <x:v>No</x:v>
      </x:c>
      <x:c r="N61" s="108" t="str"/>
      <x:c r="O61" s="108" t="str">
        <x:v>V2 audit</x:v>
      </x:c>
      <x:c r="P61" s="108" t="str">
        <x:v>SRC-02</x:v>
      </x:c>
      <x:c r="Q61" s="108" t="str"/>
      <x:c r="R61" s="108" t="str">
        <x:v>03 — Brand Architecture</x:v>
      </x:c>
      <x:c r="S61" s="110" t="str">
        <x:v>ChatGPT prefill · 06 Oct 2026</x:v>
      </x:c>
    </x:row>
    <x:row r="62" ht="36" customHeight="1">
      <x:c r="A62" s="107" t="str">
        <x:v>E11</x:v>
      </x:c>
      <x:c r="B62" s="107" t="str">
        <x:v>Commercial offer</x:v>
      </x:c>
      <x:c r="C62" s="107" t="str">
        <x:v>Decision + evidence</x:v>
      </x:c>
      <x:c r="D62" s="108" t="str">
        <x:v>Does GEM officially provide distribution?</x:v>
      </x:c>
      <x:c r="E62" s="108" t="str">
        <x:v>Confirm</x:v>
      </x:c>
      <x:c r="F62" s="109" t="str">
        <x:v>Modify / custom answer</x:v>
      </x:c>
      <x:c r="G62" s="110" t="str">
        <x:v>Conditional — distribution/supply coordination may be offered where operationally contracted; do not make an unconditional master-brand claim.</x:v>
      </x:c>
      <x:c r="H62" s="108" t="str">
        <x:f>IF(F62="Approve recommendation",E62,IF(F62="Modify / custom answer",G62,IF(F62="Reject","Rejected",IF(F62="Defer","Deferred",IF(F62="Needs evidence","Pending evidence","")))))</x:f>
        <x:v>Conditional — distribution/supply coordination may be offered where operationally contracted; do not make an unconditional master-brand claim.</x:v>
      </x:c>
      <x:c r="I62" s="107" t="str">
        <x:f>IF(F62="","Pending",IF(F62="Approve recommendation","Approved",IF(F62="Modify / custom answer",IF(G62="","Action Required","Approved with modification"),IF(F62="Reject","Rejected",IF(F62="Defer","Deferred",IF(F62="Needs evidence","Evidence Required","Pending"))))))</x:f>
        <x:v>Approved with modification</x:v>
      </x:c>
      <x:c r="J62" s="107" t="str">
        <x:v>Critical</x:v>
      </x:c>
      <x:c r="K62" s="110" t="str">
        <x:v>Commercial Lead + Product / Amenities Lead</x:v>
      </x:c>
      <x:c r="L62" s="110" t="str">
        <x:v>Consultant strategic decision for the target offer architecture. Treat outward-facing capability claims as CONDITIONAL until VAL-01 and supporting operating evidence are completed.</x:v>
      </x:c>
      <x:c r="M62" s="108" t="str">
        <x:v>No</x:v>
      </x:c>
      <x:c r="N62" s="108" t="str"/>
      <x:c r="O62" s="108" t="str">
        <x:v>V2 audit</x:v>
      </x:c>
      <x:c r="P62" s="108" t="str">
        <x:v>SRC-02</x:v>
      </x:c>
      <x:c r="Q62" s="108" t="str"/>
      <x:c r="R62" s="108" t="str">
        <x:v>03 — Brand Architecture</x:v>
      </x:c>
      <x:c r="S62" s="110" t="str">
        <x:v>ChatGPT prefill · 06 Oct 2026</x:v>
      </x:c>
    </x:row>
    <x:row r="63" ht="36" customHeight="1">
      <x:c r="A63" s="107" t="str">
        <x:v>E12</x:v>
      </x:c>
      <x:c r="B63" s="107" t="str">
        <x:v>Commercial offer</x:v>
      </x:c>
      <x:c r="C63" s="107" t="str">
        <x:v>Decision + evidence</x:v>
      </x:c>
      <x:c r="D63" s="108" t="str">
        <x:v>Does GEM officially provide delivery/logistics?</x:v>
      </x:c>
      <x:c r="E63" s="108" t="str">
        <x:v>Confirm</x:v>
      </x:c>
      <x:c r="F63" s="109" t="str">
        <x:v>Modify / custom answer</x:v>
      </x:c>
      <x:c r="G63" s="110" t="str">
        <x:v>Conditional — logistics coordination may be offered, but do not imply owned logistics capability.</x:v>
      </x:c>
      <x:c r="H63" s="108" t="str">
        <x:f>IF(F63="Approve recommendation",E63,IF(F63="Modify / custom answer",G63,IF(F63="Reject","Rejected",IF(F63="Defer","Deferred",IF(F63="Needs evidence","Pending evidence","")))))</x:f>
        <x:v>Conditional — logistics coordination may be offered, but do not imply owned logistics capability.</x:v>
      </x:c>
      <x:c r="I63" s="107" t="str">
        <x:f>IF(F63="","Pending",IF(F63="Approve recommendation","Approved",IF(F63="Modify / custom answer",IF(G63="","Action Required","Approved with modification"),IF(F63="Reject","Rejected",IF(F63="Defer","Deferred",IF(F63="Needs evidence","Evidence Required","Pending"))))))</x:f>
        <x:v>Approved with modification</x:v>
      </x:c>
      <x:c r="J63" s="107" t="str">
        <x:v>Critical</x:v>
      </x:c>
      <x:c r="K63" s="110" t="str">
        <x:v>Commercial Lead + Product / Amenities Lead</x:v>
      </x:c>
      <x:c r="L63" s="110" t="str">
        <x:v>Consultant strategic decision for the target offer architecture. Treat outward-facing capability claims as CONDITIONAL until VAL-01 and supporting operating evidence are completed.</x:v>
      </x:c>
      <x:c r="M63" s="108" t="str">
        <x:v>No</x:v>
      </x:c>
      <x:c r="N63" s="108" t="str"/>
      <x:c r="O63" s="108" t="str">
        <x:v>V2 audit</x:v>
      </x:c>
      <x:c r="P63" s="108" t="str">
        <x:v>SRC-02</x:v>
      </x:c>
      <x:c r="Q63" s="108" t="str"/>
      <x:c r="R63" s="108" t="str">
        <x:v>03 — Brand Architecture</x:v>
      </x:c>
      <x:c r="S63" s="110" t="str">
        <x:v>ChatGPT prefill · 06 Oct 2026</x:v>
      </x:c>
    </x:row>
    <x:row r="64" ht="36" customHeight="1">
      <x:c r="A64" s="107" t="str">
        <x:v>E13</x:v>
      </x:c>
      <x:c r="B64" s="107" t="str">
        <x:v>Commercial offer</x:v>
      </x:c>
      <x:c r="C64" s="107" t="str">
        <x:v>Decision + evidence</x:v>
      </x:c>
      <x:c r="D64" s="108" t="str">
        <x:v>Does GEM officially provide replenishment programs?</x:v>
      </x:c>
      <x:c r="E64" s="108" t="str">
        <x:v>Confirm</x:v>
      </x:c>
      <x:c r="F64" s="109" t="str">
        <x:v>Modify / custom answer</x:v>
      </x:c>
      <x:c r="G64" s="110" t="str">
        <x:v>Yes — replenishment programmes are part of the target offer, subject to operational validation.</x:v>
      </x:c>
      <x:c r="H64" s="108" t="str">
        <x:f>IF(F64="Approve recommendation",E64,IF(F64="Modify / custom answer",G64,IF(F64="Reject","Rejected",IF(F64="Defer","Deferred",IF(F64="Needs evidence","Pending evidence","")))))</x:f>
        <x:v>Yes — replenishment programmes are part of the target offer, subject to operational validation.</x:v>
      </x:c>
      <x:c r="I64" s="107" t="str">
        <x:f>IF(F64="","Pending",IF(F64="Approve recommendation","Approved",IF(F64="Modify / custom answer",IF(G64="","Action Required","Approved with modification"),IF(F64="Reject","Rejected",IF(F64="Defer","Deferred",IF(F64="Needs evidence","Evidence Required","Pending"))))))</x:f>
        <x:v>Approved with modification</x:v>
      </x:c>
      <x:c r="J64" s="107" t="str">
        <x:v>Critical</x:v>
      </x:c>
      <x:c r="K64" s="110" t="str">
        <x:v>Commercial Lead + Product / Amenities Lead</x:v>
      </x:c>
      <x:c r="L64" s="110" t="str">
        <x:v>Consultant strategic decision for the target offer architecture. Treat outward-facing capability claims as CONDITIONAL until VAL-01 and supporting operating evidence are completed.</x:v>
      </x:c>
      <x:c r="M64" s="108" t="str">
        <x:v>No</x:v>
      </x:c>
      <x:c r="N64" s="108" t="str"/>
      <x:c r="O64" s="108" t="str">
        <x:v>V2 audit</x:v>
      </x:c>
      <x:c r="P64" s="108" t="str">
        <x:v>SRC-02</x:v>
      </x:c>
      <x:c r="Q64" s="108" t="str"/>
      <x:c r="R64" s="108" t="str">
        <x:v>03 — Brand Architecture</x:v>
      </x:c>
      <x:c r="S64" s="110" t="str">
        <x:v>ChatGPT prefill · 06 Oct 2026</x:v>
      </x:c>
    </x:row>
    <x:row r="65" ht="36" customHeight="1">
      <x:c r="A65" s="107" t="str">
        <x:v>E14</x:v>
      </x:c>
      <x:c r="B65" s="107" t="str">
        <x:v>Commercial offer</x:v>
      </x:c>
      <x:c r="C65" s="107" t="str">
        <x:v>Decision + evidence</x:v>
      </x:c>
      <x:c r="D65" s="108" t="str">
        <x:v>Does GEM officially provide hotel-specific bespoke programs?</x:v>
      </x:c>
      <x:c r="E65" s="108" t="str">
        <x:v>Confirm</x:v>
      </x:c>
      <x:c r="F65" s="109" t="str">
        <x:v>Modify / custom answer</x:v>
      </x:c>
      <x:c r="G65" s="110" t="str">
        <x:v>Yes — hotel-specific Property Edition / Bespoke programmes are part of the intended offer.</x:v>
      </x:c>
      <x:c r="H65" s="108" t="str">
        <x:f>IF(F65="Approve recommendation",E65,IF(F65="Modify / custom answer",G65,IF(F65="Reject","Rejected",IF(F65="Defer","Deferred",IF(F65="Needs evidence","Pending evidence","")))))</x:f>
        <x:v>Yes — hotel-specific Property Edition / Bespoke programmes are part of the intended offer.</x:v>
      </x:c>
      <x:c r="I65" s="107" t="str">
        <x:f>IF(F65="","Pending",IF(F65="Approve recommendation","Approved",IF(F65="Modify / custom answer",IF(G65="","Action Required","Approved with modification"),IF(F65="Reject","Rejected",IF(F65="Defer","Deferred",IF(F65="Needs evidence","Evidence Required","Pending"))))))</x:f>
        <x:v>Approved with modification</x:v>
      </x:c>
      <x:c r="J65" s="107" t="str">
        <x:v>Critical</x:v>
      </x:c>
      <x:c r="K65" s="110" t="str">
        <x:v>Commercial Lead + Product / Amenities Lead</x:v>
      </x:c>
      <x:c r="L65" s="110" t="str">
        <x:v>Consultant strategic decision for the target offer architecture. Treat outward-facing capability claims as CONDITIONAL until VAL-01 and supporting operating evidence are completed.</x:v>
      </x:c>
      <x:c r="M65" s="108" t="str">
        <x:v>No</x:v>
      </x:c>
      <x:c r="N65" s="108" t="str"/>
      <x:c r="O65" s="108" t="str">
        <x:v>V2 audit</x:v>
      </x:c>
      <x:c r="P65" s="108" t="str">
        <x:v>SRC-02</x:v>
      </x:c>
      <x:c r="Q65" s="108" t="str"/>
      <x:c r="R65" s="108" t="str">
        <x:v>03 — Brand Architecture</x:v>
      </x:c>
      <x:c r="S65" s="110" t="str">
        <x:v>ChatGPT prefill · 06 Oct 2026</x:v>
      </x:c>
    </x:row>
    <x:row r="66" ht="36" customHeight="1">
      <x:c r="A66" s="107" t="str">
        <x:v>E15</x:v>
      </x:c>
      <x:c r="B66" s="107" t="str">
        <x:v>Commercial offer</x:v>
      </x:c>
      <x:c r="C66" s="107" t="str">
        <x:v>Brand decision</x:v>
      </x:c>
      <x:c r="D66" s="108" t="str">
        <x:v>Does GEM officially provide environmental/signage design?</x:v>
      </x:c>
      <x:c r="E66" s="108" t="str">
        <x:v>Only if actual capability exists</x:v>
      </x:c>
      <x:c r="F66" s="109" t="str">
        <x:v>Modify / custom answer</x:v>
      </x:c>
      <x:c r="G66" s="110" t="str">
        <x:v>No as a core commercial service. Keep environmental/wayfinding design as a GEM brand-application framework unless a dedicated service line is separately approved.</x:v>
      </x:c>
      <x:c r="H66" s="108" t="str">
        <x:f>IF(F66="Approve recommendation",E66,IF(F66="Modify / custom answer",G66,IF(F66="Reject","Rejected",IF(F66="Defer","Deferred",IF(F66="Needs evidence","Pending evidence","")))))</x:f>
        <x:v>No as a core commercial service. Keep environmental/wayfinding design as a GEM brand-application framework unless a dedicated service line is separately approved.</x:v>
      </x:c>
      <x:c r="I66" s="107" t="str">
        <x:f>IF(F66="","Pending",IF(F66="Approve recommendation","Approved",IF(F66="Modify / custom answer",IF(G66="","Action Required","Approved with modification"),IF(F66="Reject","Rejected",IF(F66="Defer","Deferred",IF(F66="Needs evidence","Evidence Required","Pending"))))))</x:f>
        <x:v>Approved with modification</x:v>
      </x:c>
      <x:c r="J66" s="107" t="str">
        <x:v>Critical</x:v>
      </x:c>
      <x:c r="K66" s="110" t="str">
        <x:v>Commercial Lead + Product / Amenities Lead</x:v>
      </x:c>
      <x:c r="L66" s="110" t="str">
        <x:v>Consultant strategic decision for the target offer architecture. Treat outward-facing capability claims as CONDITIONAL until VAL-01 and supporting operating evidence are completed.</x:v>
      </x:c>
      <x:c r="M66" s="108" t="str">
        <x:v>No</x:v>
      </x:c>
      <x:c r="N66" s="108" t="str"/>
      <x:c r="O66" s="108" t="str">
        <x:v>V2 audit</x:v>
      </x:c>
      <x:c r="P66" s="108" t="str">
        <x:v>SRC-02</x:v>
      </x:c>
      <x:c r="Q66" s="108" t="str"/>
      <x:c r="R66" s="108" t="str">
        <x:v>03 — Brand Architecture</x:v>
      </x:c>
      <x:c r="S66" s="110" t="str">
        <x:v>ChatGPT prefill · 06 Oct 2026</x:v>
      </x:c>
    </x:row>
    <x:row r="67" ht="36" customHeight="1">
      <x:c r="A67" s="107" t="str">
        <x:v>E16</x:v>
      </x:c>
      <x:c r="B67" s="107" t="str">
        <x:v>Commercial offer</x:v>
      </x:c>
      <x:c r="C67" s="107" t="str">
        <x:v>Brand decision</x:v>
      </x:c>
      <x:c r="D67" s="108" t="str">
        <x:v>Does GEM officially provide digital guest-experience design?</x:v>
      </x:c>
      <x:c r="E67" s="108" t="str">
        <x:v>Only if actual capability exists</x:v>
      </x:c>
      <x:c r="F67" s="109" t="str">
        <x:v>Modify / custom answer</x:v>
      </x:c>
      <x:c r="G67" s="110" t="str">
        <x:v>No as a core commercial service. Digital guest-experience design remains a brand application, not a market-facing consultancy offer unless separately approved.</x:v>
      </x:c>
      <x:c r="H67" s="108" t="str">
        <x:f>IF(F67="Approve recommendation",E67,IF(F67="Modify / custom answer",G67,IF(F67="Reject","Rejected",IF(F67="Defer","Deferred",IF(F67="Needs evidence","Pending evidence","")))))</x:f>
        <x:v>No as a core commercial service. Digital guest-experience design remains a brand application, not a market-facing consultancy offer unless separately approved.</x:v>
      </x:c>
      <x:c r="I67" s="107" t="str">
        <x:f>IF(F67="","Pending",IF(F67="Approve recommendation","Approved",IF(F67="Modify / custom answer",IF(G67="","Action Required","Approved with modification"),IF(F67="Reject","Rejected",IF(F67="Defer","Deferred",IF(F67="Needs evidence","Evidence Required","Pending"))))))</x:f>
        <x:v>Approved with modification</x:v>
      </x:c>
      <x:c r="J67" s="107" t="str">
        <x:v>Critical</x:v>
      </x:c>
      <x:c r="K67" s="110" t="str">
        <x:v>Commercial Lead + Product / Amenities Lead</x:v>
      </x:c>
      <x:c r="L67" s="110" t="str">
        <x:v>Consultant strategic decision for the target offer architecture. Treat outward-facing capability claims as CONDITIONAL until VAL-01 and supporting operating evidence are completed.</x:v>
      </x:c>
      <x:c r="M67" s="108" t="str">
        <x:v>No</x:v>
      </x:c>
      <x:c r="N67" s="108" t="str"/>
      <x:c r="O67" s="108" t="str">
        <x:v>V2 audit</x:v>
      </x:c>
      <x:c r="P67" s="108" t="str">
        <x:v>SRC-02</x:v>
      </x:c>
      <x:c r="Q67" s="108" t="str"/>
      <x:c r="R67" s="108" t="str">
        <x:v>03 — Brand Architecture</x:v>
      </x:c>
      <x:c r="S67" s="110" t="str">
        <x:v>ChatGPT prefill · 06 Oct 2026</x:v>
      </x:c>
    </x:row>
    <x:row r="68" ht="36" customHeight="1">
      <x:c r="A68" s="107" t="str">
        <x:v>E17</x:v>
      </x:c>
      <x:c r="B68" s="107" t="str">
        <x:v>Commercial offer</x:v>
      </x:c>
      <x:c r="C68" s="107" t="str">
        <x:v>Brand decision</x:v>
      </x:c>
      <x:c r="D68" s="108" t="str">
        <x:v>Does GEM officially provide consultancy / brand advisory?</x:v>
      </x:c>
      <x:c r="E68" s="108" t="str">
        <x:v>Only if actual capability exists</x:v>
      </x:c>
      <x:c r="F68" s="109" t="str">
        <x:v>Modify / custom answer</x:v>
      </x:c>
      <x:c r="G68" s="110" t="str">
        <x:v>No — do not position GEM as a general brand consultancy in V3.0.</x:v>
      </x:c>
      <x:c r="H68" s="108" t="str">
        <x:f>IF(F68="Approve recommendation",E68,IF(F68="Modify / custom answer",G68,IF(F68="Reject","Rejected",IF(F68="Defer","Deferred",IF(F68="Needs evidence","Pending evidence","")))))</x:f>
        <x:v>No — do not position GEM as a general brand consultancy in V3.0.</x:v>
      </x:c>
      <x:c r="I68" s="107" t="str">
        <x:f>IF(F68="","Pending",IF(F68="Approve recommendation","Approved",IF(F68="Modify / custom answer",IF(G68="","Action Required","Approved with modification"),IF(F68="Reject","Rejected",IF(F68="Defer","Deferred",IF(F68="Needs evidence","Evidence Required","Pending"))))))</x:f>
        <x:v>Approved with modification</x:v>
      </x:c>
      <x:c r="J68" s="107" t="str">
        <x:v>Critical</x:v>
      </x:c>
      <x:c r="K68" s="110" t="str">
        <x:v>Commercial Lead + Product / Amenities Lead</x:v>
      </x:c>
      <x:c r="L68" s="110" t="str">
        <x:v>Consultant strategic decision for the target offer architecture. Treat outward-facing capability claims as CONDITIONAL until VAL-01 and supporting operating evidence are completed.</x:v>
      </x:c>
      <x:c r="M68" s="108" t="str">
        <x:v>No</x:v>
      </x:c>
      <x:c r="N68" s="108" t="str"/>
      <x:c r="O68" s="108" t="str">
        <x:v>V2 audit</x:v>
      </x:c>
      <x:c r="P68" s="108" t="str">
        <x:v>SRC-02</x:v>
      </x:c>
      <x:c r="Q68" s="108" t="str"/>
      <x:c r="R68" s="108" t="str">
        <x:v>03 — Brand Architecture</x:v>
      </x:c>
      <x:c r="S68" s="110" t="str">
        <x:v>ChatGPT prefill · 06 Oct 2026</x:v>
      </x:c>
    </x:row>
    <x:row r="69" ht="36" customHeight="1">
      <x:c r="A69" s="107" t="str">
        <x:v>E18</x:v>
      </x:c>
      <x:c r="B69" s="107" t="str">
        <x:v>Commercial offer</x:v>
      </x:c>
      <x:c r="C69" s="107" t="str">
        <x:v>Brand decision</x:v>
      </x:c>
      <x:c r="D69" s="108" t="str">
        <x:v>Should V3.0 state minimum-order quantities?</x:v>
      </x:c>
      <x:c r="E69" s="108" t="str">
        <x:v>Only if stable/verified</x:v>
      </x:c>
      <x:c r="F69" s="109" t="str">
        <x:v>Modify / custom answer</x:v>
      </x:c>
      <x:c r="G69" s="110" t="str">
        <x:v>Do not publish generic MOQs in the master brand guideline. Maintain supplier-verified MOQs in controlled product/commercial sheets only.</x:v>
      </x:c>
      <x:c r="H69" s="108" t="str">
        <x:f>IF(F69="Approve recommendation",E69,IF(F69="Modify / custom answer",G69,IF(F69="Reject","Rejected",IF(F69="Defer","Deferred",IF(F69="Needs evidence","Pending evidence","")))))</x:f>
        <x:v>Do not publish generic MOQs in the master brand guideline. Maintain supplier-verified MOQs in controlled product/commercial sheets only.</x:v>
      </x:c>
      <x:c r="I69" s="107" t="str">
        <x:f>IF(F69="","Pending",IF(F69="Approve recommendation","Approved",IF(F69="Modify / custom answer",IF(G69="","Action Required","Approved with modification"),IF(F69="Reject","Rejected",IF(F69="Defer","Deferred",IF(F69="Needs evidence","Evidence Required","Pending"))))))</x:f>
        <x:v>Approved with modification</x:v>
      </x:c>
      <x:c r="J69" s="107" t="str">
        <x:v>Critical</x:v>
      </x:c>
      <x:c r="K69" s="110" t="str">
        <x:v>Commercial Lead + Product / Amenities Lead</x:v>
      </x:c>
      <x:c r="L69" s="110" t="str">
        <x:v>Consultant strategic decision for the target offer architecture. Treat outward-facing capability claims as CONDITIONAL until VAL-01 and supporting operating evidence are completed.</x:v>
      </x:c>
      <x:c r="M69" s="108" t="str">
        <x:v>No</x:v>
      </x:c>
      <x:c r="N69" s="108" t="str"/>
      <x:c r="O69" s="108" t="str">
        <x:v>V2 audit</x:v>
      </x:c>
      <x:c r="P69" s="108" t="str">
        <x:v>SRC-02</x:v>
      </x:c>
      <x:c r="Q69" s="108" t="str"/>
      <x:c r="R69" s="108" t="str">
        <x:v>03 — Brand Architecture</x:v>
      </x:c>
      <x:c r="S69" s="110" t="str">
        <x:v>ChatGPT prefill · 06 Oct 2026</x:v>
      </x:c>
    </x:row>
    <x:row r="70" ht="36" customHeight="1">
      <x:c r="A70" s="107" t="str">
        <x:v>E19</x:v>
      </x:c>
      <x:c r="B70" s="107" t="str">
        <x:v>Commercial offer</x:v>
      </x:c>
      <x:c r="C70" s="107" t="str">
        <x:v>Brand decision</x:v>
      </x:c>
      <x:c r="D70" s="108" t="str">
        <x:v>Should V3.0 state lead times?</x:v>
      </x:c>
      <x:c r="E70" s="108" t="str">
        <x:v>Only if stable/verified</x:v>
      </x:c>
      <x:c r="F70" s="109" t="str">
        <x:v>Modify / custom answer</x:v>
      </x:c>
      <x:c r="G70" s="110" t="str">
        <x:v>Do not publish generic lead times in the master brand guideline. Maintain verified lead times in controlled product/commercial sheets only.</x:v>
      </x:c>
      <x:c r="H70" s="108" t="str">
        <x:f>IF(F70="Approve recommendation",E70,IF(F70="Modify / custom answer",G70,IF(F70="Reject","Rejected",IF(F70="Defer","Deferred",IF(F70="Needs evidence","Pending evidence","")))))</x:f>
        <x:v>Do not publish generic lead times in the master brand guideline. Maintain verified lead times in controlled product/commercial sheets only.</x:v>
      </x:c>
      <x:c r="I70" s="107" t="str">
        <x:f>IF(F70="","Pending",IF(F70="Approve recommendation","Approved",IF(F70="Modify / custom answer",IF(G70="","Action Required","Approved with modification"),IF(F70="Reject","Rejected",IF(F70="Defer","Deferred",IF(F70="Needs evidence","Evidence Required","Pending"))))))</x:f>
        <x:v>Approved with modification</x:v>
      </x:c>
      <x:c r="J70" s="107" t="str">
        <x:v>Critical</x:v>
      </x:c>
      <x:c r="K70" s="110" t="str">
        <x:v>Commercial Lead + Product / Amenities Lead</x:v>
      </x:c>
      <x:c r="L70" s="110" t="str">
        <x:v>Consultant strategic decision for the target offer architecture. Treat outward-facing capability claims as CONDITIONAL until VAL-01 and supporting operating evidence are completed.</x:v>
      </x:c>
      <x:c r="M70" s="108" t="str">
        <x:v>No</x:v>
      </x:c>
      <x:c r="N70" s="108" t="str"/>
      <x:c r="O70" s="108" t="str">
        <x:v>V2 audit</x:v>
      </x:c>
      <x:c r="P70" s="108" t="str">
        <x:v>SRC-02</x:v>
      </x:c>
      <x:c r="Q70" s="108" t="str"/>
      <x:c r="R70" s="108" t="str">
        <x:v>03 — Brand Architecture</x:v>
      </x:c>
      <x:c r="S70" s="110" t="str">
        <x:v>ChatGPT prefill · 06 Oct 2026</x:v>
      </x:c>
    </x:row>
    <x:row r="71" ht="36" customHeight="1">
      <x:c r="A71" s="107" t="str">
        <x:v>E20</x:v>
      </x:c>
      <x:c r="B71" s="107" t="str">
        <x:v>Commercial offer</x:v>
      </x:c>
      <x:c r="C71" s="107" t="str">
        <x:v>Brand decision</x:v>
      </x:c>
      <x:c r="D71" s="108" t="str">
        <x:v>Should V3.0 state territories/service coverage?</x:v>
      </x:c>
      <x:c r="E71" s="108" t="str">
        <x:v>Yes if approved and stable</x:v>
      </x:c>
      <x:c r="F71" s="109" t="str">
        <x:v>Modify / custom answer</x:v>
      </x:c>
      <x:c r="G71" s="110" t="str">
        <x:v>Yes — active territories/service coverage should be stated in controlled commercial/product material when approved; keep the master guideline non-transactional.</x:v>
      </x:c>
      <x:c r="H71" s="108" t="str">
        <x:f>IF(F71="Approve recommendation",E71,IF(F71="Modify / custom answer",G71,IF(F71="Reject","Rejected",IF(F71="Defer","Deferred",IF(F71="Needs evidence","Pending evidence","")))))</x:f>
        <x:v>Yes — active territories/service coverage should be stated in controlled commercial/product material when approved; keep the master guideline non-transactional.</x:v>
      </x:c>
      <x:c r="I71" s="107" t="str">
        <x:f>IF(F71="","Pending",IF(F71="Approve recommendation","Approved",IF(F71="Modify / custom answer",IF(G71="","Action Required","Approved with modification"),IF(F71="Reject","Rejected",IF(F71="Defer","Deferred",IF(F71="Needs evidence","Evidence Required","Pending"))))))</x:f>
        <x:v>Approved with modification</x:v>
      </x:c>
      <x:c r="J71" s="107" t="str">
        <x:v>Critical</x:v>
      </x:c>
      <x:c r="K71" s="110" t="str">
        <x:v>Commercial Lead + Product / Amenities Lead</x:v>
      </x:c>
      <x:c r="L71" s="110" t="str">
        <x:v>Consultant strategic decision for the target offer architecture. Treat outward-facing capability claims as CONDITIONAL until VAL-01 and supporting operating evidence are completed.</x:v>
      </x:c>
      <x:c r="M71" s="108" t="str">
        <x:v>No</x:v>
      </x:c>
      <x:c r="N71" s="108" t="str"/>
      <x:c r="O71" s="108" t="str">
        <x:v>V2 audit</x:v>
      </x:c>
      <x:c r="P71" s="108" t="str">
        <x:v>SRC-02</x:v>
      </x:c>
      <x:c r="Q71" s="108" t="str"/>
      <x:c r="R71" s="108" t="str">
        <x:v>03 — Brand Architecture</x:v>
      </x:c>
      <x:c r="S71" s="110" t="str">
        <x:v>ChatGPT prefill · 06 Oct 2026</x:v>
      </x:c>
    </x:row>
    <x:row r="72" ht="36" customHeight="1">
      <x:c r="A72" s="107" t="str">
        <x:v>F01</x:v>
      </x:c>
      <x:c r="B72" s="107" t="str">
        <x:v>Claims and proof</x:v>
      </x:c>
      <x:c r="C72" s="107" t="str">
        <x:v>Brand decision</x:v>
      </x:c>
      <x:c r="D72" s="108" t="str">
        <x:v>May GEM claim “world-class”?</x:v>
      </x:c>
      <x:c r="E72" s="108" t="str">
        <x:v>No</x:v>
      </x:c>
      <x:c r="F72" s="109" t="str">
        <x:v>Approve recommendation</x:v>
      </x:c>
      <x:c r="G72" s="110"/>
      <x:c r="H72" s="108" t="str">
        <x:f>IF(F72="Approve recommendation",E72,IF(F72="Modify / custom answer",G72,IF(F72="Reject","Rejected",IF(F72="Defer","Deferred",IF(F72="Needs evidence","Pending evidence","")))))</x:f>
        <x:v>No</x:v>
      </x:c>
      <x:c r="I72" s="107" t="str">
        <x:f>IF(F72="","Pending",IF(F72="Approve recommendation","Approved",IF(F72="Modify / custom answer",IF(G72="","Action Required","Approved with modification"),IF(F72="Reject","Rejected",IF(F72="Defer","Deferred",IF(F72="Needs evidence","Evidence Required","Pending"))))))</x:f>
        <x:v>Approved</x:v>
      </x:c>
      <x:c r="J72" s="107" t="str">
        <x:v>Critical</x:v>
      </x:c>
      <x:c r="K72" s="110" t="str">
        <x:v>Commercial Lead + Product / Amenities Lead + Legal / IP Counsel</x:v>
      </x:c>
      <x:c r="L72" s="110"/>
      <x:c r="M72" s="108" t="str">
        <x:v>No</x:v>
      </x:c>
      <x:c r="N72" s="108" t="str"/>
      <x:c r="O72" s="108" t="str">
        <x:v>V2 guideline + V2 audit</x:v>
      </x:c>
      <x:c r="P72" s="108" t="str">
        <x:v>SRC-01, SRC-02</x:v>
      </x:c>
      <x:c r="Q72" s="108" t="str"/>
      <x:c r="R72" s="108" t="str">
        <x:v>05 — Verbal Identity</x:v>
      </x:c>
      <x:c r="S72" s="110" t="str">
        <x:v>ChatGPT prefill · 06 Oct 2026</x:v>
      </x:c>
    </x:row>
    <x:row r="73" ht="36" customHeight="1">
      <x:c r="A73" s="107" t="str">
        <x:v>F02</x:v>
      </x:c>
      <x:c r="B73" s="107" t="str">
        <x:v>Claims and proof</x:v>
      </x:c>
      <x:c r="C73" s="107" t="str">
        <x:v>Decision + evidence</x:v>
      </x:c>
      <x:c r="D73" s="108" t="str">
        <x:v>May GEM claim “best”, “leading”, “number one”, etc.?</x:v>
      </x:c>
      <x:c r="E73" s="108" t="str">
        <x:v>No unless independently evidenced</x:v>
      </x:c>
      <x:c r="F73" s="109" t="str">
        <x:v>Approve recommendation</x:v>
      </x:c>
      <x:c r="G73" s="110"/>
      <x:c r="H73" s="108" t="str">
        <x:f>IF(F73="Approve recommendation",E73,IF(F73="Modify / custom answer",G73,IF(F73="Reject","Rejected",IF(F73="Defer","Deferred",IF(F73="Needs evidence","Pending evidence","")))))</x:f>
        <x:v>No unless independently evidenced</x:v>
      </x:c>
      <x:c r="I73" s="107" t="str">
        <x:f>IF(F73="","Pending",IF(F73="Approve recommendation","Approved",IF(F73="Modify / custom answer",IF(G73="","Action Required","Approved with modification"),IF(F73="Reject","Rejected",IF(F73="Defer","Deferred",IF(F73="Needs evidence","Evidence Required","Pending"))))))</x:f>
        <x:v>Approved</x:v>
      </x:c>
      <x:c r="J73" s="107" t="str">
        <x:v>Critical</x:v>
      </x:c>
      <x:c r="K73" s="110" t="str">
        <x:v>Commercial Lead + Product / Amenities Lead + Legal / IP Counsel</x:v>
      </x:c>
      <x:c r="L73" s="110"/>
      <x:c r="M73" s="108" t="str">
        <x:v>Yes</x:v>
      </x:c>
      <x:c r="N73" s="108" t="str"/>
      <x:c r="O73" s="108" t="str">
        <x:v>V2 guideline + V2 audit</x:v>
      </x:c>
      <x:c r="P73" s="108" t="str">
        <x:v>SRC-01, SRC-02</x:v>
      </x:c>
      <x:c r="Q73" s="108" t="str"/>
      <x:c r="R73" s="108" t="str">
        <x:v>05 — Verbal Identity</x:v>
      </x:c>
      <x:c r="S73" s="110" t="str">
        <x:v>ChatGPT prefill · 06 Oct 2026</x:v>
      </x:c>
    </x:row>
    <x:row r="74" ht="36" customHeight="1">
      <x:c r="A74" s="107" t="str">
        <x:v>F03</x:v>
      </x:c>
      <x:c r="B74" s="107" t="str">
        <x:v>Claims and proof</x:v>
      </x:c>
      <x:c r="C74" s="107" t="str">
        <x:v>Decision + evidence</x:v>
      </x:c>
      <x:c r="D74" s="108" t="str">
        <x:v>May GEM make sustainability claims?</x:v>
      </x:c>
      <x:c r="E74" s="108" t="str">
        <x:v>Only product-specific claims with evidence</x:v>
      </x:c>
      <x:c r="F74" s="109" t="str">
        <x:v>Approve recommendation</x:v>
      </x:c>
      <x:c r="G74" s="110"/>
      <x:c r="H74" s="108" t="str">
        <x:f>IF(F74="Approve recommendation",E74,IF(F74="Modify / custom answer",G74,IF(F74="Reject","Rejected",IF(F74="Defer","Deferred",IF(F74="Needs evidence","Pending evidence","")))))</x:f>
        <x:v>Only product-specific claims with evidence</x:v>
      </x:c>
      <x:c r="I74" s="107" t="str">
        <x:f>IF(F74="","Pending",IF(F74="Approve recommendation","Approved",IF(F74="Modify / custom answer",IF(G74="","Action Required","Approved with modification"),IF(F74="Reject","Rejected",IF(F74="Defer","Deferred",IF(F74="Needs evidence","Evidence Required","Pending"))))))</x:f>
        <x:v>Approved</x:v>
      </x:c>
      <x:c r="J74" s="107" t="str">
        <x:v>Critical</x:v>
      </x:c>
      <x:c r="K74" s="110" t="str">
        <x:v>Commercial Lead + Product / Amenities Lead + Legal / IP Counsel</x:v>
      </x:c>
      <x:c r="L74" s="110"/>
      <x:c r="M74" s="108" t="str">
        <x:v>Yes</x:v>
      </x:c>
      <x:c r="N74" s="108" t="str"/>
      <x:c r="O74" s="108" t="str">
        <x:v>V2 guideline + V2 audit</x:v>
      </x:c>
      <x:c r="P74" s="108" t="str">
        <x:v>SRC-01, SRC-02</x:v>
      </x:c>
      <x:c r="Q74" s="108" t="str"/>
      <x:c r="R74" s="108" t="str">
        <x:v>05 — Verbal Identity</x:v>
      </x:c>
      <x:c r="S74" s="110" t="str">
        <x:v>ChatGPT prefill · 06 Oct 2026</x:v>
      </x:c>
    </x:row>
    <x:row r="75" ht="36" customHeight="1">
      <x:c r="A75" s="107" t="str">
        <x:v>F04</x:v>
      </x:c>
      <x:c r="B75" s="107" t="str">
        <x:v>Claims and proof</x:v>
      </x:c>
      <x:c r="C75" s="107" t="str">
        <x:v>Decision + evidence</x:v>
      </x:c>
      <x:c r="D75" s="108" t="str">
        <x:v>May GEM claim recyclable / biodegradable / recycled content?</x:v>
      </x:c>
      <x:c r="E75" s="108" t="str">
        <x:v>Only with verified supplier/product evidence</x:v>
      </x:c>
      <x:c r="F75" s="109" t="str">
        <x:v>Approve recommendation</x:v>
      </x:c>
      <x:c r="G75" s="110"/>
      <x:c r="H75" s="108" t="str">
        <x:f>IF(F75="Approve recommendation",E75,IF(F75="Modify / custom answer",G75,IF(F75="Reject","Rejected",IF(F75="Defer","Deferred",IF(F75="Needs evidence","Pending evidence","")))))</x:f>
        <x:v>Only with verified supplier/product evidence</x:v>
      </x:c>
      <x:c r="I75" s="107" t="str">
        <x:f>IF(F75="","Pending",IF(F75="Approve recommendation","Approved",IF(F75="Modify / custom answer",IF(G75="","Action Required","Approved with modification"),IF(F75="Reject","Rejected",IF(F75="Defer","Deferred",IF(F75="Needs evidence","Evidence Required","Pending"))))))</x:f>
        <x:v>Approved</x:v>
      </x:c>
      <x:c r="J75" s="107" t="str">
        <x:v>Critical</x:v>
      </x:c>
      <x:c r="K75" s="110" t="str">
        <x:v>Commercial Lead + Product / Amenities Lead + Legal / IP Counsel</x:v>
      </x:c>
      <x:c r="L75" s="110"/>
      <x:c r="M75" s="108" t="str">
        <x:v>Yes</x:v>
      </x:c>
      <x:c r="N75" s="108" t="str"/>
      <x:c r="O75" s="108" t="str">
        <x:v>V2 guideline + V2 audit</x:v>
      </x:c>
      <x:c r="P75" s="108" t="str">
        <x:v>SRC-01, SRC-02</x:v>
      </x:c>
      <x:c r="Q75" s="108" t="str"/>
      <x:c r="R75" s="108" t="str">
        <x:v>05 — Verbal Identity</x:v>
      </x:c>
      <x:c r="S75" s="110" t="str">
        <x:v>ChatGPT prefill · 06 Oct 2026</x:v>
      </x:c>
    </x:row>
    <x:row r="76" ht="36" customHeight="1">
      <x:c r="A76" s="107" t="str">
        <x:v>F05</x:v>
      </x:c>
      <x:c r="B76" s="107" t="str">
        <x:v>Claims and proof</x:v>
      </x:c>
      <x:c r="C76" s="107" t="str">
        <x:v>Decision + evidence</x:v>
      </x:c>
      <x:c r="D76" s="108" t="str">
        <x:v>May GEM make safety/formulation claims?</x:v>
      </x:c>
      <x:c r="E76" s="108" t="str">
        <x:v>Only with product/regulatory evidence</x:v>
      </x:c>
      <x:c r="F76" s="109" t="str">
        <x:v>Approve recommendation</x:v>
      </x:c>
      <x:c r="G76" s="110"/>
      <x:c r="H76" s="108" t="str">
        <x:f>IF(F76="Approve recommendation",E76,IF(F76="Modify / custom answer",G76,IF(F76="Reject","Rejected",IF(F76="Defer","Deferred",IF(F76="Needs evidence","Pending evidence","")))))</x:f>
        <x:v>Only with product/regulatory evidence</x:v>
      </x:c>
      <x:c r="I76" s="107" t="str">
        <x:f>IF(F76="","Pending",IF(F76="Approve recommendation","Approved",IF(F76="Modify / custom answer",IF(G76="","Action Required","Approved with modification"),IF(F76="Reject","Rejected",IF(F76="Defer","Deferred",IF(F76="Needs evidence","Evidence Required","Pending"))))))</x:f>
        <x:v>Approved</x:v>
      </x:c>
      <x:c r="J76" s="107" t="str">
        <x:v>Critical</x:v>
      </x:c>
      <x:c r="K76" s="110" t="str">
        <x:v>Commercial Lead + Product / Amenities Lead + Legal / IP Counsel</x:v>
      </x:c>
      <x:c r="L76" s="110"/>
      <x:c r="M76" s="108" t="str">
        <x:v>Yes</x:v>
      </x:c>
      <x:c r="N76" s="108" t="str"/>
      <x:c r="O76" s="108" t="str">
        <x:v>V2 guideline + V2 audit</x:v>
      </x:c>
      <x:c r="P76" s="108" t="str">
        <x:v>SRC-01, SRC-02</x:v>
      </x:c>
      <x:c r="Q76" s="108" t="str"/>
      <x:c r="R76" s="108" t="str">
        <x:v>05 — Verbal Identity</x:v>
      </x:c>
      <x:c r="S76" s="110" t="str">
        <x:v>ChatGPT prefill · 06 Oct 2026</x:v>
      </x:c>
    </x:row>
    <x:row r="77" ht="36" customHeight="1">
      <x:c r="A77" s="107" t="str">
        <x:v>F06</x:v>
      </x:c>
      <x:c r="B77" s="107" t="str">
        <x:v>Claims and proof</x:v>
      </x:c>
      <x:c r="C77" s="107" t="str">
        <x:v>Brand decision</x:v>
      </x:c>
      <x:c r="D77" s="108" t="str">
        <x:v>May GEM state country of origin?</x:v>
      </x:c>
      <x:c r="E77" s="108" t="str">
        <x:v>Only verified per SKU</x:v>
      </x:c>
      <x:c r="F77" s="109" t="str">
        <x:v>Approve recommendation</x:v>
      </x:c>
      <x:c r="G77" s="110"/>
      <x:c r="H77" s="108" t="str">
        <x:f>IF(F77="Approve recommendation",E77,IF(F77="Modify / custom answer",G77,IF(F77="Reject","Rejected",IF(F77="Defer","Deferred",IF(F77="Needs evidence","Pending evidence","")))))</x:f>
        <x:v>Only verified per SKU</x:v>
      </x:c>
      <x:c r="I77" s="107" t="str">
        <x:f>IF(F77="","Pending",IF(F77="Approve recommendation","Approved",IF(F77="Modify / custom answer",IF(G77="","Action Required","Approved with modification"),IF(F77="Reject","Rejected",IF(F77="Defer","Deferred",IF(F77="Needs evidence","Evidence Required","Pending"))))))</x:f>
        <x:v>Approved</x:v>
      </x:c>
      <x:c r="J77" s="107" t="str">
        <x:v>Critical</x:v>
      </x:c>
      <x:c r="K77" s="110" t="str">
        <x:v>Commercial Lead + Product / Amenities Lead + Legal / IP Counsel</x:v>
      </x:c>
      <x:c r="L77" s="110"/>
      <x:c r="M77" s="108" t="str">
        <x:v>No</x:v>
      </x:c>
      <x:c r="N77" s="108" t="str"/>
      <x:c r="O77" s="108" t="str">
        <x:v>V2 guideline + V2 audit</x:v>
      </x:c>
      <x:c r="P77" s="108" t="str">
        <x:v>SRC-01, SRC-02</x:v>
      </x:c>
      <x:c r="Q77" s="108" t="str"/>
      <x:c r="R77" s="108" t="str">
        <x:v>05 — Verbal Identity</x:v>
      </x:c>
      <x:c r="S77" s="110" t="str">
        <x:v>ChatGPT prefill · 06 Oct 2026</x:v>
      </x:c>
    </x:row>
    <x:row r="78" ht="36" customHeight="1">
      <x:c r="A78" s="107" t="str">
        <x:v>F07</x:v>
      </x:c>
      <x:c r="B78" s="107" t="str">
        <x:v>Claims and proof</x:v>
      </x:c>
      <x:c r="C78" s="107" t="str">
        <x:v>Decision + evidence</x:v>
      </x:c>
      <x:c r="D78" s="108" t="str">
        <x:v>May GEM make performance/durability claims?</x:v>
      </x:c>
      <x:c r="E78" s="108" t="str">
        <x:v>Only with evidence</x:v>
      </x:c>
      <x:c r="F78" s="109" t="str">
        <x:v>Approve recommendation</x:v>
      </x:c>
      <x:c r="G78" s="110"/>
      <x:c r="H78" s="108" t="str">
        <x:f>IF(F78="Approve recommendation",E78,IF(F78="Modify / custom answer",G78,IF(F78="Reject","Rejected",IF(F78="Defer","Deferred",IF(F78="Needs evidence","Pending evidence","")))))</x:f>
        <x:v>Only with evidence</x:v>
      </x:c>
      <x:c r="I78" s="107" t="str">
        <x:f>IF(F78="","Pending",IF(F78="Approve recommendation","Approved",IF(F78="Modify / custom answer",IF(G78="","Action Required","Approved with modification"),IF(F78="Reject","Rejected",IF(F78="Defer","Deferred",IF(F78="Needs evidence","Evidence Required","Pending"))))))</x:f>
        <x:v>Approved</x:v>
      </x:c>
      <x:c r="J78" s="107" t="str">
        <x:v>Critical</x:v>
      </x:c>
      <x:c r="K78" s="110" t="str">
        <x:v>Commercial Lead + Product / Amenities Lead + Legal / IP Counsel</x:v>
      </x:c>
      <x:c r="L78" s="110"/>
      <x:c r="M78" s="108" t="str">
        <x:v>Yes</x:v>
      </x:c>
      <x:c r="N78" s="108" t="str"/>
      <x:c r="O78" s="108" t="str">
        <x:v>V2 guideline + V2 audit</x:v>
      </x:c>
      <x:c r="P78" s="108" t="str">
        <x:v>SRC-01, SRC-02</x:v>
      </x:c>
      <x:c r="Q78" s="108" t="str"/>
      <x:c r="R78" s="108" t="str">
        <x:v>05 — Verbal Identity</x:v>
      </x:c>
      <x:c r="S78" s="110" t="str">
        <x:v>ChatGPT prefill · 06 Oct 2026</x:v>
      </x:c>
    </x:row>
    <x:row r="79" ht="36" customHeight="1">
      <x:c r="A79" s="107" t="str">
        <x:v>F08</x:v>
      </x:c>
      <x:c r="B79" s="107" t="str">
        <x:v>Claims and proof</x:v>
      </x:c>
      <x:c r="C79" s="107" t="str">
        <x:v>Brand decision</x:v>
      </x:c>
      <x:c r="D79" s="108" t="str">
        <x:v>Should all unverified claims be prohibited from final templates?</x:v>
      </x:c>
      <x:c r="E79" s="108" t="str">
        <x:v>Yes</x:v>
      </x:c>
      <x:c r="F79" s="109" t="str">
        <x:v>Approve recommendation</x:v>
      </x:c>
      <x:c r="G79" s="110"/>
      <x:c r="H79" s="108" t="str">
        <x:f>IF(F79="Approve recommendation",E79,IF(F79="Modify / custom answer",G79,IF(F79="Reject","Rejected",IF(F79="Defer","Deferred",IF(F79="Needs evidence","Pending evidence","")))))</x:f>
        <x:v>Yes</x:v>
      </x:c>
      <x:c r="I79" s="107" t="str">
        <x:f>IF(F79="","Pending",IF(F79="Approve recommendation","Approved",IF(F79="Modify / custom answer",IF(G79="","Action Required","Approved with modification"),IF(F79="Reject","Rejected",IF(F79="Defer","Deferred",IF(F79="Needs evidence","Evidence Required","Pending"))))))</x:f>
        <x:v>Approved</x:v>
      </x:c>
      <x:c r="J79" s="107" t="str">
        <x:v>Critical</x:v>
      </x:c>
      <x:c r="K79" s="110" t="str">
        <x:v>Commercial Lead + Product / Amenities Lead + Legal / IP Counsel</x:v>
      </x:c>
      <x:c r="L79" s="110"/>
      <x:c r="M79" s="108" t="str">
        <x:v>No</x:v>
      </x:c>
      <x:c r="N79" s="108" t="str"/>
      <x:c r="O79" s="108" t="str">
        <x:v>V2 guideline + V2 audit</x:v>
      </x:c>
      <x:c r="P79" s="108" t="str">
        <x:v>SRC-01, SRC-02</x:v>
      </x:c>
      <x:c r="Q79" s="108" t="str"/>
      <x:c r="R79" s="108" t="str">
        <x:v>05 — Verbal Identity</x:v>
      </x:c>
      <x:c r="S79" s="110" t="str">
        <x:v>ChatGPT prefill · 06 Oct 2026</x:v>
      </x:c>
    </x:row>
    <x:row r="80" ht="36" customHeight="1">
      <x:c r="A80" s="107" t="str">
        <x:v>F09</x:v>
      </x:c>
      <x:c r="B80" s="107" t="str">
        <x:v>Claims and proof</x:v>
      </x:c>
      <x:c r="C80" s="107" t="str">
        <x:v>Decision + evidence</x:v>
      </x:c>
      <x:c r="D80" s="108" t="str">
        <x:v>Who owns the claim-evidence register?</x:v>
      </x:c>
      <x:c r="E80" s="108" t="str">
        <x:v>Commercial/Product owner</x:v>
      </x:c>
      <x:c r="F80" s="109" t="str">
        <x:v>Modify / custom answer</x:v>
      </x:c>
      <x:c r="G80" s="110" t="str">
        <x:v>Commercial Lead + Product/Amenities Lead own the claim-evidence register, with Legal/Regulatory review where claims require it.</x:v>
      </x:c>
      <x:c r="H80" s="108" t="str">
        <x:f>IF(F80="Approve recommendation",E80,IF(F80="Modify / custom answer",G80,IF(F80="Reject","Rejected",IF(F80="Defer","Deferred",IF(F80="Needs evidence","Pending evidence","")))))</x:f>
        <x:v>Commercial Lead + Product/Amenities Lead own the claim-evidence register, with Legal/Regulatory review where claims require it.</x:v>
      </x:c>
      <x:c r="I80" s="107" t="str">
        <x:f>IF(F80="","Pending",IF(F80="Approve recommendation","Approved",IF(F80="Modify / custom answer",IF(G80="","Action Required","Approved with modification"),IF(F80="Reject","Rejected",IF(F80="Defer","Deferred",IF(F80="Needs evidence","Evidence Required","Pending"))))))</x:f>
        <x:v>Approved with modification</x:v>
      </x:c>
      <x:c r="J80" s="107" t="str">
        <x:v>Critical</x:v>
      </x:c>
      <x:c r="K80" s="110" t="str">
        <x:v>Commercial Lead + Product / Amenities Lead + Legal / IP Counsel</x:v>
      </x:c>
      <x:c r="L80" s="110" t="str">
        <x:v>Approved as the V3.0 consultant recommendation, grounded in the current GEM source system and best-practice review.</x:v>
      </x:c>
      <x:c r="M80" s="108" t="str">
        <x:v>Yes</x:v>
      </x:c>
      <x:c r="N80" s="108" t="str"/>
      <x:c r="O80" s="108" t="str">
        <x:v>V2 guideline + V2 audit</x:v>
      </x:c>
      <x:c r="P80" s="108" t="str">
        <x:v>SRC-01, SRC-02</x:v>
      </x:c>
      <x:c r="Q80" s="108" t="str"/>
      <x:c r="R80" s="108" t="str">
        <x:v>05 — Verbal Identity</x:v>
      </x:c>
      <x:c r="S80" s="110" t="str">
        <x:v>ChatGPT prefill · 06 Oct 2026</x:v>
      </x:c>
    </x:row>
    <x:row r="81" ht="36" customHeight="1">
      <x:c r="A81" s="107" t="str">
        <x:v>F10</x:v>
      </x:c>
      <x:c r="B81" s="107" t="str">
        <x:v>Claims and proof</x:v>
      </x:c>
      <x:c r="C81" s="107" t="str">
        <x:v>Brand decision</x:v>
      </x:c>
      <x:c r="D81" s="108" t="str">
        <x:v>Should claim approval references be retained with final production artwork?</x:v>
      </x:c>
      <x:c r="E81" s="108" t="str">
        <x:v>Yes</x:v>
      </x:c>
      <x:c r="F81" s="109" t="str">
        <x:v>Approve recommendation</x:v>
      </x:c>
      <x:c r="G81" s="110"/>
      <x:c r="H81" s="108" t="str">
        <x:f>IF(F81="Approve recommendation",E81,IF(F81="Modify / custom answer",G81,IF(F81="Reject","Rejected",IF(F81="Defer","Deferred",IF(F81="Needs evidence","Pending evidence","")))))</x:f>
        <x:v>Yes</x:v>
      </x:c>
      <x:c r="I81" s="107" t="str">
        <x:f>IF(F81="","Pending",IF(F81="Approve recommendation","Approved",IF(F81="Modify / custom answer",IF(G81="","Action Required","Approved with modification"),IF(F81="Reject","Rejected",IF(F81="Defer","Deferred",IF(F81="Needs evidence","Evidence Required","Pending"))))))</x:f>
        <x:v>Approved</x:v>
      </x:c>
      <x:c r="J81" s="107" t="str">
        <x:v>Critical</x:v>
      </x:c>
      <x:c r="K81" s="110" t="str">
        <x:v>Commercial Lead + Product / Amenities Lead + Legal / IP Counsel</x:v>
      </x:c>
      <x:c r="L81" s="110"/>
      <x:c r="M81" s="108" t="str">
        <x:v>No</x:v>
      </x:c>
      <x:c r="N81" s="108" t="str"/>
      <x:c r="O81" s="108" t="str">
        <x:v>V2 guideline + V2 audit</x:v>
      </x:c>
      <x:c r="P81" s="108" t="str">
        <x:v>SRC-01, SRC-02</x:v>
      </x:c>
      <x:c r="Q81" s="108" t="str"/>
      <x:c r="R81" s="108" t="str">
        <x:v>05 — Verbal Identity</x:v>
      </x:c>
      <x:c r="S81" s="110" t="str">
        <x:v>ChatGPT prefill · 06 Oct 2026</x:v>
      </x:c>
    </x:row>
    <x:row r="82" ht="36" customHeight="1">
      <x:c r="A82" s="107" t="str">
        <x:v>G01</x:v>
      </x:c>
      <x:c r="B82" s="107" t="str">
        <x:v>Verbal identity</x:v>
      </x:c>
      <x:c r="C82" s="107" t="str">
        <x:v>Brand decision</x:v>
      </x:c>
      <x:c r="D82" s="108" t="str">
        <x:v>Tone: Measured</x:v>
      </x:c>
      <x:c r="E82" s="108" t="str">
        <x:v>Approve</x:v>
      </x:c>
      <x:c r="F82" s="109" t="str">
        <x:v>Approve recommendation</x:v>
      </x:c>
      <x:c r="G82" s="110"/>
      <x:c r="H82" s="108" t="str">
        <x:f>IF(F82="Approve recommendation",E82,IF(F82="Modify / custom answer",G82,IF(F82="Reject","Rejected",IF(F82="Defer","Deferred",IF(F82="Needs evidence","Pending evidence","")))))</x:f>
        <x:v>Approve</x:v>
      </x:c>
      <x:c r="I82" s="107" t="str">
        <x:f>IF(F82="","Pending",IF(F82="Approve recommendation","Approved",IF(F82="Modify / custom answer",IF(G82="","Action Required","Approved with modification"),IF(F82="Reject","Rejected",IF(F82="Defer","Deferred",IF(F82="Needs evidence","Evidence Required","Pending"))))))</x:f>
        <x:v>Approved</x:v>
      </x:c>
      <x:c r="J82" s="107" t="str">
        <x:v>High</x:v>
      </x:c>
      <x:c r="K82" s="110" t="str">
        <x:v>Brand Owner + Design Custodian</x:v>
      </x:c>
      <x:c r="L82" s="110"/>
      <x:c r="M82" s="108" t="str">
        <x:v>No</x:v>
      </x:c>
      <x:c r="N82" s="108" t="str"/>
      <x:c r="O82" s="108" t="str">
        <x:v>V2 guideline</x:v>
      </x:c>
      <x:c r="P82" s="108" t="str">
        <x:v>SRC-01</x:v>
      </x:c>
      <x:c r="Q82" s="108" t="str"/>
      <x:c r="R82" s="108" t="str">
        <x:v>05 — Verbal Identity</x:v>
      </x:c>
      <x:c r="S82" s="110" t="str">
        <x:v>ChatGPT prefill · 06 Oct 2026</x:v>
      </x:c>
    </x:row>
    <x:row r="83" ht="36" customHeight="1">
      <x:c r="A83" s="107" t="str">
        <x:v>G02</x:v>
      </x:c>
      <x:c r="B83" s="107" t="str">
        <x:v>Verbal identity</x:v>
      </x:c>
      <x:c r="C83" s="107" t="str">
        <x:v>Brand decision</x:v>
      </x:c>
      <x:c r="D83" s="108" t="str">
        <x:v>Tone: Warm, not effusive</x:v>
      </x:c>
      <x:c r="E83" s="108" t="str">
        <x:v>Approve</x:v>
      </x:c>
      <x:c r="F83" s="109" t="str">
        <x:v>Approve recommendation</x:v>
      </x:c>
      <x:c r="G83" s="110"/>
      <x:c r="H83" s="108" t="str">
        <x:f>IF(F83="Approve recommendation",E83,IF(F83="Modify / custom answer",G83,IF(F83="Reject","Rejected",IF(F83="Defer","Deferred",IF(F83="Needs evidence","Pending evidence","")))))</x:f>
        <x:v>Approve</x:v>
      </x:c>
      <x:c r="I83" s="107" t="str">
        <x:f>IF(F83="","Pending",IF(F83="Approve recommendation","Approved",IF(F83="Modify / custom answer",IF(G83="","Action Required","Approved with modification"),IF(F83="Reject","Rejected",IF(F83="Defer","Deferred",IF(F83="Needs evidence","Evidence Required","Pending"))))))</x:f>
        <x:v>Approved</x:v>
      </x:c>
      <x:c r="J83" s="107" t="str">
        <x:v>High</x:v>
      </x:c>
      <x:c r="K83" s="110" t="str">
        <x:v>Brand Owner + Design Custodian</x:v>
      </x:c>
      <x:c r="L83" s="110"/>
      <x:c r="M83" s="108" t="str">
        <x:v>No</x:v>
      </x:c>
      <x:c r="N83" s="108" t="str"/>
      <x:c r="O83" s="108" t="str">
        <x:v>V2 guideline</x:v>
      </x:c>
      <x:c r="P83" s="108" t="str">
        <x:v>SRC-01</x:v>
      </x:c>
      <x:c r="Q83" s="108" t="str"/>
      <x:c r="R83" s="108" t="str">
        <x:v>05 — Verbal Identity</x:v>
      </x:c>
      <x:c r="S83" s="110" t="str">
        <x:v>ChatGPT prefill · 06 Oct 2026</x:v>
      </x:c>
    </x:row>
    <x:row r="84" ht="36" customHeight="1">
      <x:c r="A84" s="107" t="str">
        <x:v>G03</x:v>
      </x:c>
      <x:c r="B84" s="107" t="str">
        <x:v>Verbal identity</x:v>
      </x:c>
      <x:c r="C84" s="107" t="str">
        <x:v>Brand decision</x:v>
      </x:c>
      <x:c r="D84" s="108" t="str">
        <x:v>Tone: Quietly confident</x:v>
      </x:c>
      <x:c r="E84" s="108" t="str">
        <x:v>Approve</x:v>
      </x:c>
      <x:c r="F84" s="109" t="str">
        <x:v>Approve recommendation</x:v>
      </x:c>
      <x:c r="G84" s="110"/>
      <x:c r="H84" s="108" t="str">
        <x:f>IF(F84="Approve recommendation",E84,IF(F84="Modify / custom answer",G84,IF(F84="Reject","Rejected",IF(F84="Defer","Deferred",IF(F84="Needs evidence","Pending evidence","")))))</x:f>
        <x:v>Approve</x:v>
      </x:c>
      <x:c r="I84" s="107" t="str">
        <x:f>IF(F84="","Pending",IF(F84="Approve recommendation","Approved",IF(F84="Modify / custom answer",IF(G84="","Action Required","Approved with modification"),IF(F84="Reject","Rejected",IF(F84="Defer","Deferred",IF(F84="Needs evidence","Evidence Required","Pending"))))))</x:f>
        <x:v>Approved</x:v>
      </x:c>
      <x:c r="J84" s="107" t="str">
        <x:v>High</x:v>
      </x:c>
      <x:c r="K84" s="110" t="str">
        <x:v>Brand Owner + Design Custodian</x:v>
      </x:c>
      <x:c r="L84" s="110"/>
      <x:c r="M84" s="108" t="str">
        <x:v>No</x:v>
      </x:c>
      <x:c r="N84" s="108" t="str"/>
      <x:c r="O84" s="108" t="str">
        <x:v>V2 guideline</x:v>
      </x:c>
      <x:c r="P84" s="108" t="str">
        <x:v>SRC-01</x:v>
      </x:c>
      <x:c r="Q84" s="108" t="str"/>
      <x:c r="R84" s="108" t="str">
        <x:v>05 — Verbal Identity</x:v>
      </x:c>
      <x:c r="S84" s="110" t="str">
        <x:v>ChatGPT prefill · 06 Oct 2026</x:v>
      </x:c>
    </x:row>
    <x:row r="85" ht="36" customHeight="1">
      <x:c r="A85" s="107" t="str">
        <x:v>G04</x:v>
      </x:c>
      <x:c r="B85" s="107" t="str">
        <x:v>Verbal identity</x:v>
      </x:c>
      <x:c r="C85" s="107" t="str">
        <x:v>Brand decision</x:v>
      </x:c>
      <x:c r="D85" s="108" t="str">
        <x:v>Tone: Precise about detail</x:v>
      </x:c>
      <x:c r="E85" s="108" t="str">
        <x:v>Approve</x:v>
      </x:c>
      <x:c r="F85" s="109" t="str">
        <x:v>Approve recommendation</x:v>
      </x:c>
      <x:c r="G85" s="110"/>
      <x:c r="H85" s="108" t="str">
        <x:f>IF(F85="Approve recommendation",E85,IF(F85="Modify / custom answer",G85,IF(F85="Reject","Rejected",IF(F85="Defer","Deferred",IF(F85="Needs evidence","Pending evidence","")))))</x:f>
        <x:v>Approve</x:v>
      </x:c>
      <x:c r="I85" s="107" t="str">
        <x:f>IF(F85="","Pending",IF(F85="Approve recommendation","Approved",IF(F85="Modify / custom answer",IF(G85="","Action Required","Approved with modification"),IF(F85="Reject","Rejected",IF(F85="Defer","Deferred",IF(F85="Needs evidence","Evidence Required","Pending"))))))</x:f>
        <x:v>Approved</x:v>
      </x:c>
      <x:c r="J85" s="107" t="str">
        <x:v>High</x:v>
      </x:c>
      <x:c r="K85" s="110" t="str">
        <x:v>Brand Owner + Design Custodian</x:v>
      </x:c>
      <x:c r="L85" s="110"/>
      <x:c r="M85" s="108" t="str">
        <x:v>No</x:v>
      </x:c>
      <x:c r="N85" s="108" t="str"/>
      <x:c r="O85" s="108" t="str">
        <x:v>V2 guideline</x:v>
      </x:c>
      <x:c r="P85" s="108" t="str">
        <x:v>SRC-01</x:v>
      </x:c>
      <x:c r="Q85" s="108" t="str"/>
      <x:c r="R85" s="108" t="str">
        <x:v>05 — Verbal Identity</x:v>
      </x:c>
      <x:c r="S85" s="110" t="str">
        <x:v>ChatGPT prefill · 06 Oct 2026</x:v>
      </x:c>
    </x:row>
    <x:row r="86" ht="36" customHeight="1">
      <x:c r="A86" s="107" t="str">
        <x:v>G05</x:v>
      </x:c>
      <x:c r="B86" s="107" t="str">
        <x:v>Verbal identity</x:v>
      </x:c>
      <x:c r="C86" s="107" t="str">
        <x:v>Brand decision</x:v>
      </x:c>
      <x:c r="D86" s="108" t="str">
        <x:v>Short sentences preferred?</x:v>
      </x:c>
      <x:c r="E86" s="108" t="str">
        <x:v>Yes</x:v>
      </x:c>
      <x:c r="F86" s="109" t="str">
        <x:v>Approve recommendation</x:v>
      </x:c>
      <x:c r="G86" s="110"/>
      <x:c r="H86" s="108" t="str">
        <x:f>IF(F86="Approve recommendation",E86,IF(F86="Modify / custom answer",G86,IF(F86="Reject","Rejected",IF(F86="Defer","Deferred",IF(F86="Needs evidence","Pending evidence","")))))</x:f>
        <x:v>Yes</x:v>
      </x:c>
      <x:c r="I86" s="107" t="str">
        <x:f>IF(F86="","Pending",IF(F86="Approve recommendation","Approved",IF(F86="Modify / custom answer",IF(G86="","Action Required","Approved with modification"),IF(F86="Reject","Rejected",IF(F86="Defer","Deferred",IF(F86="Needs evidence","Evidence Required","Pending"))))))</x:f>
        <x:v>Approved</x:v>
      </x:c>
      <x:c r="J86" s="107" t="str">
        <x:v>High</x:v>
      </x:c>
      <x:c r="K86" s="110" t="str">
        <x:v>Brand Owner + Design Custodian</x:v>
      </x:c>
      <x:c r="L86" s="110"/>
      <x:c r="M86" s="108" t="str">
        <x:v>No</x:v>
      </x:c>
      <x:c r="N86" s="108" t="str"/>
      <x:c r="O86" s="108" t="str">
        <x:v>V2 guideline</x:v>
      </x:c>
      <x:c r="P86" s="108" t="str">
        <x:v>SRC-01</x:v>
      </x:c>
      <x:c r="Q86" s="108" t="str"/>
      <x:c r="R86" s="108" t="str">
        <x:v>05 — Verbal Identity</x:v>
      </x:c>
      <x:c r="S86" s="110" t="str">
        <x:v>ChatGPT prefill · 06 Oct 2026</x:v>
      </x:c>
    </x:row>
    <x:row r="87" ht="36" customHeight="1">
      <x:c r="A87" s="107" t="str">
        <x:v>G06</x:v>
      </x:c>
      <x:c r="B87" s="107" t="str">
        <x:v>Verbal identity</x:v>
      </x:c>
      <x:c r="C87" s="107" t="str">
        <x:v>Brand decision</x:v>
      </x:c>
      <x:c r="D87" s="108" t="str">
        <x:v>Avoid exclamation marks?</x:v>
      </x:c>
      <x:c r="E87" s="108" t="str">
        <x:v>Yes, except genuine functional need</x:v>
      </x:c>
      <x:c r="F87" s="109" t="str">
        <x:v>Approve recommendation</x:v>
      </x:c>
      <x:c r="G87" s="110"/>
      <x:c r="H87" s="108" t="str">
        <x:f>IF(F87="Approve recommendation",E87,IF(F87="Modify / custom answer",G87,IF(F87="Reject","Rejected",IF(F87="Defer","Deferred",IF(F87="Needs evidence","Pending evidence","")))))</x:f>
        <x:v>Yes, except genuine functional need</x:v>
      </x:c>
      <x:c r="I87" s="107" t="str">
        <x:f>IF(F87="","Pending",IF(F87="Approve recommendation","Approved",IF(F87="Modify / custom answer",IF(G87="","Action Required","Approved with modification"),IF(F87="Reject","Rejected",IF(F87="Defer","Deferred",IF(F87="Needs evidence","Evidence Required","Pending"))))))</x:f>
        <x:v>Approved</x:v>
      </x:c>
      <x:c r="J87" s="107" t="str">
        <x:v>High</x:v>
      </x:c>
      <x:c r="K87" s="110" t="str">
        <x:v>Brand Owner + Design Custodian</x:v>
      </x:c>
      <x:c r="L87" s="110"/>
      <x:c r="M87" s="108" t="str">
        <x:v>No</x:v>
      </x:c>
      <x:c r="N87" s="108" t="str"/>
      <x:c r="O87" s="108" t="str">
        <x:v>V2 guideline</x:v>
      </x:c>
      <x:c r="P87" s="108" t="str">
        <x:v>SRC-01</x:v>
      </x:c>
      <x:c r="Q87" s="108" t="str"/>
      <x:c r="R87" s="108" t="str">
        <x:v>05 — Verbal Identity</x:v>
      </x:c>
      <x:c r="S87" s="110" t="str">
        <x:v>ChatGPT prefill · 06 Oct 2026</x:v>
      </x:c>
    </x:row>
    <x:row r="88" ht="36" customHeight="1">
      <x:c r="A88" s="107" t="str">
        <x:v>G07</x:v>
      </x:c>
      <x:c r="B88" s="107" t="str">
        <x:v>Verbal identity</x:v>
      </x:c>
      <x:c r="C88" s="107" t="str">
        <x:v>Brand decision</x:v>
      </x:c>
      <x:c r="D88" s="108" t="str">
        <x:v>Avoid unsupported superlatives?</x:v>
      </x:c>
      <x:c r="E88" s="108" t="str">
        <x:v>Yes</x:v>
      </x:c>
      <x:c r="F88" s="109" t="str">
        <x:v>Approve recommendation</x:v>
      </x:c>
      <x:c r="G88" s="110"/>
      <x:c r="H88" s="108" t="str">
        <x:f>IF(F88="Approve recommendation",E88,IF(F88="Modify / custom answer",G88,IF(F88="Reject","Rejected",IF(F88="Defer","Deferred",IF(F88="Needs evidence","Pending evidence","")))))</x:f>
        <x:v>Yes</x:v>
      </x:c>
      <x:c r="I88" s="107" t="str">
        <x:f>IF(F88="","Pending",IF(F88="Approve recommendation","Approved",IF(F88="Modify / custom answer",IF(G88="","Action Required","Approved with modification"),IF(F88="Reject","Rejected",IF(F88="Defer","Deferred",IF(F88="Needs evidence","Evidence Required","Pending"))))))</x:f>
        <x:v>Approved</x:v>
      </x:c>
      <x:c r="J88" s="107" t="str">
        <x:v>High</x:v>
      </x:c>
      <x:c r="K88" s="110" t="str">
        <x:v>Brand Owner + Design Custodian</x:v>
      </x:c>
      <x:c r="L88" s="110"/>
      <x:c r="M88" s="108" t="str">
        <x:v>No</x:v>
      </x:c>
      <x:c r="N88" s="108" t="str"/>
      <x:c r="O88" s="108" t="str">
        <x:v>V2 guideline</x:v>
      </x:c>
      <x:c r="P88" s="108" t="str">
        <x:v>SRC-01</x:v>
      </x:c>
      <x:c r="Q88" s="108" t="str"/>
      <x:c r="R88" s="108" t="str">
        <x:v>05 — Verbal Identity</x:v>
      </x:c>
      <x:c r="S88" s="110" t="str">
        <x:v>ChatGPT prefill · 06 Oct 2026</x:v>
      </x:c>
    </x:row>
    <x:row r="89" ht="36" customHeight="1">
      <x:c r="A89" s="107" t="str">
        <x:v>G08</x:v>
      </x:c>
      <x:c r="B89" s="107" t="str">
        <x:v>Verbal identity</x:v>
      </x:c>
      <x:c r="C89" s="107" t="str">
        <x:v>Brand decision</x:v>
      </x:c>
      <x:c r="D89" s="108" t="str">
        <x:v>Should GEM “state rather than sell”?</x:v>
      </x:c>
      <x:c r="E89" s="108" t="str">
        <x:v>Yes</x:v>
      </x:c>
      <x:c r="F89" s="109" t="str">
        <x:v>Approve recommendation</x:v>
      </x:c>
      <x:c r="G89" s="110"/>
      <x:c r="H89" s="108" t="str">
        <x:f>IF(F89="Approve recommendation",E89,IF(F89="Modify / custom answer",G89,IF(F89="Reject","Rejected",IF(F89="Defer","Deferred",IF(F89="Needs evidence","Pending evidence","")))))</x:f>
        <x:v>Yes</x:v>
      </x:c>
      <x:c r="I89" s="107" t="str">
        <x:f>IF(F89="","Pending",IF(F89="Approve recommendation","Approved",IF(F89="Modify / custom answer",IF(G89="","Action Required","Approved with modification"),IF(F89="Reject","Rejected",IF(F89="Defer","Deferred",IF(F89="Needs evidence","Evidence Required","Pending"))))))</x:f>
        <x:v>Approved</x:v>
      </x:c>
      <x:c r="J89" s="107" t="str">
        <x:v>High</x:v>
      </x:c>
      <x:c r="K89" s="110" t="str">
        <x:v>Brand Owner + Design Custodian</x:v>
      </x:c>
      <x:c r="L89" s="110"/>
      <x:c r="M89" s="108" t="str">
        <x:v>No</x:v>
      </x:c>
      <x:c r="N89" s="108" t="str"/>
      <x:c r="O89" s="108" t="str">
        <x:v>V2 guideline</x:v>
      </x:c>
      <x:c r="P89" s="108" t="str">
        <x:v>SRC-01</x:v>
      </x:c>
      <x:c r="Q89" s="108" t="str"/>
      <x:c r="R89" s="108" t="str">
        <x:v>05 — Verbal Identity</x:v>
      </x:c>
      <x:c r="S89" s="110" t="str">
        <x:v>ChatGPT prefill · 06 Oct 2026</x:v>
      </x:c>
    </x:row>
    <x:row r="90" ht="36" customHeight="1">
      <x:c r="A90" s="107" t="str">
        <x:v>G09</x:v>
      </x:c>
      <x:c r="B90" s="107" t="str">
        <x:v>Verbal identity</x:v>
      </x:c>
      <x:c r="C90" s="107" t="str">
        <x:v>Brand decision</x:v>
      </x:c>
      <x:c r="D90" s="108" t="str">
        <x:v>Approved vocabulary: arrival, stay, proportion, composed, measured, quiet, exact, welcome, crafted</x:v>
      </x:c>
      <x:c r="E90" s="108" t="str">
        <x:v>Approve</x:v>
      </x:c>
      <x:c r="F90" s="109" t="str">
        <x:v>Approve recommendation</x:v>
      </x:c>
      <x:c r="G90" s="110"/>
      <x:c r="H90" s="108" t="str">
        <x:f>IF(F90="Approve recommendation",E90,IF(F90="Modify / custom answer",G90,IF(F90="Reject","Rejected",IF(F90="Defer","Deferred",IF(F90="Needs evidence","Pending evidence","")))))</x:f>
        <x:v>Approve</x:v>
      </x:c>
      <x:c r="I90" s="107" t="str">
        <x:f>IF(F90="","Pending",IF(F90="Approve recommendation","Approved",IF(F90="Modify / custom answer",IF(G90="","Action Required","Approved with modification"),IF(F90="Reject","Rejected",IF(F90="Defer","Deferred",IF(F90="Needs evidence","Evidence Required","Pending"))))))</x:f>
        <x:v>Approved</x:v>
      </x:c>
      <x:c r="J90" s="107" t="str">
        <x:v>High</x:v>
      </x:c>
      <x:c r="K90" s="110" t="str">
        <x:v>Brand Owner + Design Custodian</x:v>
      </x:c>
      <x:c r="L90" s="110"/>
      <x:c r="M90" s="108" t="str">
        <x:v>No</x:v>
      </x:c>
      <x:c r="N90" s="108" t="str"/>
      <x:c r="O90" s="108" t="str">
        <x:v>V2 guideline</x:v>
      </x:c>
      <x:c r="P90" s="108" t="str">
        <x:v>SRC-01</x:v>
      </x:c>
      <x:c r="Q90" s="108" t="str"/>
      <x:c r="R90" s="108" t="str">
        <x:v>05 — Verbal Identity</x:v>
      </x:c>
      <x:c r="S90" s="110" t="str">
        <x:v>ChatGPT prefill · 06 Oct 2026</x:v>
      </x:c>
    </x:row>
    <x:row r="91" ht="36" customHeight="1">
      <x:c r="A91" s="107" t="str">
        <x:v>G10</x:v>
      </x:c>
      <x:c r="B91" s="107" t="str">
        <x:v>Verbal identity</x:v>
      </x:c>
      <x:c r="C91" s="107" t="str">
        <x:v>Brand decision</x:v>
      </x:c>
      <x:c r="D91" s="108" t="str">
        <x:v>Avoid: luxurious, world-class, indulge, oasis, escape, pamper, unforgettable, best</x:v>
      </x:c>
      <x:c r="E91" s="108" t="str">
        <x:v>Approve</x:v>
      </x:c>
      <x:c r="F91" s="109" t="str">
        <x:v>Approve recommendation</x:v>
      </x:c>
      <x:c r="G91" s="110"/>
      <x:c r="H91" s="108" t="str">
        <x:f>IF(F91="Approve recommendation",E91,IF(F91="Modify / custom answer",G91,IF(F91="Reject","Rejected",IF(F91="Defer","Deferred",IF(F91="Needs evidence","Pending evidence","")))))</x:f>
        <x:v>Approve</x:v>
      </x:c>
      <x:c r="I91" s="107" t="str">
        <x:f>IF(F91="","Pending",IF(F91="Approve recommendation","Approved",IF(F91="Modify / custom answer",IF(G91="","Action Required","Approved with modification"),IF(F91="Reject","Rejected",IF(F91="Defer","Deferred",IF(F91="Needs evidence","Evidence Required","Pending"))))))</x:f>
        <x:v>Approved</x:v>
      </x:c>
      <x:c r="J91" s="107" t="str">
        <x:v>High</x:v>
      </x:c>
      <x:c r="K91" s="110" t="str">
        <x:v>Brand Owner + Design Custodian</x:v>
      </x:c>
      <x:c r="L91" s="110"/>
      <x:c r="M91" s="108" t="str">
        <x:v>No</x:v>
      </x:c>
      <x:c r="N91" s="108" t="str"/>
      <x:c r="O91" s="108" t="str">
        <x:v>V2 guideline</x:v>
      </x:c>
      <x:c r="P91" s="108" t="str">
        <x:v>SRC-01</x:v>
      </x:c>
      <x:c r="Q91" s="108" t="str"/>
      <x:c r="R91" s="108" t="str">
        <x:v>05 — Verbal Identity</x:v>
      </x:c>
      <x:c r="S91" s="110" t="str">
        <x:v>ChatGPT prefill · 06 Oct 2026</x:v>
      </x:c>
    </x:row>
    <x:row r="92" ht="36" customHeight="1">
      <x:c r="A92" s="107" t="str">
        <x:v>G11</x:v>
      </x:c>
      <x:c r="B92" s="107" t="str">
        <x:v>Verbal identity</x:v>
      </x:c>
      <x:c r="C92" s="107" t="str">
        <x:v>Brand decision</x:v>
      </x:c>
      <x:c r="D92" s="108" t="str">
        <x:v>Should the verbal system include B2B procurement language examples?</x:v>
      </x:c>
      <x:c r="E92" s="108" t="str">
        <x:v>Yes</x:v>
      </x:c>
      <x:c r="F92" s="109" t="str">
        <x:v>Approve recommendation</x:v>
      </x:c>
      <x:c r="G92" s="110"/>
      <x:c r="H92" s="108" t="str">
        <x:f>IF(F92="Approve recommendation",E92,IF(F92="Modify / custom answer",G92,IF(F92="Reject","Rejected",IF(F92="Defer","Deferred",IF(F92="Needs evidence","Pending evidence","")))))</x:f>
        <x:v>Yes</x:v>
      </x:c>
      <x:c r="I92" s="107" t="str">
        <x:f>IF(F92="","Pending",IF(F92="Approve recommendation","Approved",IF(F92="Modify / custom answer",IF(G92="","Action Required","Approved with modification"),IF(F92="Reject","Rejected",IF(F92="Defer","Deferred",IF(F92="Needs evidence","Evidence Required","Pending"))))))</x:f>
        <x:v>Approved</x:v>
      </x:c>
      <x:c r="J92" s="107" t="str">
        <x:v>High</x:v>
      </x:c>
      <x:c r="K92" s="110" t="str">
        <x:v>Brand Owner + Design Custodian</x:v>
      </x:c>
      <x:c r="L92" s="110"/>
      <x:c r="M92" s="108" t="str">
        <x:v>No</x:v>
      </x:c>
      <x:c r="N92" s="108" t="str"/>
      <x:c r="O92" s="108" t="str">
        <x:v>V2 guideline</x:v>
      </x:c>
      <x:c r="P92" s="108" t="str">
        <x:v>SRC-01</x:v>
      </x:c>
      <x:c r="Q92" s="108" t="str"/>
      <x:c r="R92" s="108" t="str">
        <x:v>05 — Verbal Identity</x:v>
      </x:c>
      <x:c r="S92" s="110" t="str">
        <x:v>ChatGPT prefill · 06 Oct 2026</x:v>
      </x:c>
    </x:row>
    <x:row r="93" ht="36" customHeight="1">
      <x:c r="A93" s="107" t="str">
        <x:v>G12</x:v>
      </x:c>
      <x:c r="B93" s="107" t="str">
        <x:v>Verbal identity</x:v>
      </x:c>
      <x:c r="C93" s="107" t="str">
        <x:v>Brand decision</x:v>
      </x:c>
      <x:c r="D93" s="108" t="str">
        <x:v>Should V3.0 include sample guest copy?</x:v>
      </x:c>
      <x:c r="E93" s="108" t="str">
        <x:v>Yes</x:v>
      </x:c>
      <x:c r="F93" s="109" t="str">
        <x:v>Approve recommendation</x:v>
      </x:c>
      <x:c r="G93" s="110"/>
      <x:c r="H93" s="108" t="str">
        <x:f>IF(F93="Approve recommendation",E93,IF(F93="Modify / custom answer",G93,IF(F93="Reject","Rejected",IF(F93="Defer","Deferred",IF(F93="Needs evidence","Pending evidence","")))))</x:f>
        <x:v>Yes</x:v>
      </x:c>
      <x:c r="I93" s="107" t="str">
        <x:f>IF(F93="","Pending",IF(F93="Approve recommendation","Approved",IF(F93="Modify / custom answer",IF(G93="","Action Required","Approved with modification"),IF(F93="Reject","Rejected",IF(F93="Defer","Deferred",IF(F93="Needs evidence","Evidence Required","Pending"))))))</x:f>
        <x:v>Approved</x:v>
      </x:c>
      <x:c r="J93" s="107" t="str">
        <x:v>High</x:v>
      </x:c>
      <x:c r="K93" s="110" t="str">
        <x:v>Brand Owner + Design Custodian</x:v>
      </x:c>
      <x:c r="L93" s="110"/>
      <x:c r="M93" s="108" t="str">
        <x:v>No</x:v>
      </x:c>
      <x:c r="N93" s="108" t="str"/>
      <x:c r="O93" s="108" t="str">
        <x:v>V2 guideline</x:v>
      </x:c>
      <x:c r="P93" s="108" t="str">
        <x:v>SRC-01</x:v>
      </x:c>
      <x:c r="Q93" s="108" t="str"/>
      <x:c r="R93" s="108" t="str">
        <x:v>05 — Verbal Identity</x:v>
      </x:c>
      <x:c r="S93" s="110" t="str">
        <x:v>ChatGPT prefill · 06 Oct 2026</x:v>
      </x:c>
    </x:row>
    <x:row r="94" ht="36" customHeight="1">
      <x:c r="A94" s="107" t="str">
        <x:v>G13</x:v>
      </x:c>
      <x:c r="B94" s="107" t="str">
        <x:v>Verbal identity</x:v>
      </x:c>
      <x:c r="C94" s="107" t="str">
        <x:v>Brand decision</x:v>
      </x:c>
      <x:c r="D94" s="108" t="str">
        <x:v>Should V3.0 include sample sales/proposal copy?</x:v>
      </x:c>
      <x:c r="E94" s="108" t="str">
        <x:v>Yes</x:v>
      </x:c>
      <x:c r="F94" s="109" t="str">
        <x:v>Approve recommendation</x:v>
      </x:c>
      <x:c r="G94" s="110"/>
      <x:c r="H94" s="108" t="str">
        <x:f>IF(F94="Approve recommendation",E94,IF(F94="Modify / custom answer",G94,IF(F94="Reject","Rejected",IF(F94="Defer","Deferred",IF(F94="Needs evidence","Pending evidence","")))))</x:f>
        <x:v>Yes</x:v>
      </x:c>
      <x:c r="I94" s="107" t="str">
        <x:f>IF(F94="","Pending",IF(F94="Approve recommendation","Approved",IF(F94="Modify / custom answer",IF(G94="","Action Required","Approved with modification"),IF(F94="Reject","Rejected",IF(F94="Defer","Deferred",IF(F94="Needs evidence","Evidence Required","Pending"))))))</x:f>
        <x:v>Approved</x:v>
      </x:c>
      <x:c r="J94" s="107" t="str">
        <x:v>High</x:v>
      </x:c>
      <x:c r="K94" s="110" t="str">
        <x:v>Brand Owner + Design Custodian</x:v>
      </x:c>
      <x:c r="L94" s="110"/>
      <x:c r="M94" s="108" t="str">
        <x:v>No</x:v>
      </x:c>
      <x:c r="N94" s="108" t="str"/>
      <x:c r="O94" s="108" t="str">
        <x:v>V2 guideline</x:v>
      </x:c>
      <x:c r="P94" s="108" t="str">
        <x:v>SRC-01</x:v>
      </x:c>
      <x:c r="Q94" s="108" t="str"/>
      <x:c r="R94" s="108" t="str">
        <x:v>05 — Verbal Identity</x:v>
      </x:c>
      <x:c r="S94" s="110" t="str">
        <x:v>ChatGPT prefill · 06 Oct 2026</x:v>
      </x:c>
    </x:row>
    <x:row r="95" ht="36" customHeight="1">
      <x:c r="A95" s="107" t="str">
        <x:v>G14</x:v>
      </x:c>
      <x:c r="B95" s="107" t="str">
        <x:v>Verbal identity</x:v>
      </x:c>
      <x:c r="C95" s="107" t="str">
        <x:v>Brand decision</x:v>
      </x:c>
      <x:c r="D95" s="108" t="str">
        <x:v>Should V3.0 include sample email/service copy?</x:v>
      </x:c>
      <x:c r="E95" s="108" t="str">
        <x:v>Yes</x:v>
      </x:c>
      <x:c r="F95" s="109" t="str">
        <x:v>Approve recommendation</x:v>
      </x:c>
      <x:c r="G95" s="110"/>
      <x:c r="H95" s="108" t="str">
        <x:f>IF(F95="Approve recommendation",E95,IF(F95="Modify / custom answer",G95,IF(F95="Reject","Rejected",IF(F95="Defer","Deferred",IF(F95="Needs evidence","Pending evidence","")))))</x:f>
        <x:v>Yes</x:v>
      </x:c>
      <x:c r="I95" s="107" t="str">
        <x:f>IF(F95="","Pending",IF(F95="Approve recommendation","Approved",IF(F95="Modify / custom answer",IF(G95="","Action Required","Approved with modification"),IF(F95="Reject","Rejected",IF(F95="Defer","Deferred",IF(F95="Needs evidence","Evidence Required","Pending"))))))</x:f>
        <x:v>Approved</x:v>
      </x:c>
      <x:c r="J95" s="107" t="str">
        <x:v>High</x:v>
      </x:c>
      <x:c r="K95" s="110" t="str">
        <x:v>Brand Owner + Design Custodian</x:v>
      </x:c>
      <x:c r="L95" s="110"/>
      <x:c r="M95" s="108" t="str">
        <x:v>No</x:v>
      </x:c>
      <x:c r="N95" s="108" t="str"/>
      <x:c r="O95" s="108" t="str">
        <x:v>V2 guideline</x:v>
      </x:c>
      <x:c r="P95" s="108" t="str">
        <x:v>SRC-01</x:v>
      </x:c>
      <x:c r="Q95" s="108" t="str"/>
      <x:c r="R95" s="108" t="str">
        <x:v>05 — Verbal Identity</x:v>
      </x:c>
      <x:c r="S95" s="110" t="str">
        <x:v>ChatGPT prefill · 06 Oct 2026</x:v>
      </x:c>
    </x:row>
    <x:row r="96" ht="36" customHeight="1">
      <x:c r="A96" s="107" t="str">
        <x:v>G15</x:v>
      </x:c>
      <x:c r="B96" s="107" t="str">
        <x:v>Verbal identity</x:v>
      </x:c>
      <x:c r="C96" s="107" t="str">
        <x:v>Brand decision</x:v>
      </x:c>
      <x:c r="D96" s="108" t="str">
        <x:v>Should V3.0 include sample packaging copy?</x:v>
      </x:c>
      <x:c r="E96" s="108" t="str">
        <x:v>Yes</x:v>
      </x:c>
      <x:c r="F96" s="109" t="str">
        <x:v>Approve recommendation</x:v>
      </x:c>
      <x:c r="G96" s="110"/>
      <x:c r="H96" s="108" t="str">
        <x:f>IF(F96="Approve recommendation",E96,IF(F96="Modify / custom answer",G96,IF(F96="Reject","Rejected",IF(F96="Defer","Deferred",IF(F96="Needs evidence","Pending evidence","")))))</x:f>
        <x:v>Yes</x:v>
      </x:c>
      <x:c r="I96" s="107" t="str">
        <x:f>IF(F96="","Pending",IF(F96="Approve recommendation","Approved",IF(F96="Modify / custom answer",IF(G96="","Action Required","Approved with modification"),IF(F96="Reject","Rejected",IF(F96="Defer","Deferred",IF(F96="Needs evidence","Evidence Required","Pending"))))))</x:f>
        <x:v>Approved</x:v>
      </x:c>
      <x:c r="J96" s="107" t="str">
        <x:v>High</x:v>
      </x:c>
      <x:c r="K96" s="110" t="str">
        <x:v>Brand Owner + Design Custodian</x:v>
      </x:c>
      <x:c r="L96" s="110"/>
      <x:c r="M96" s="108" t="str">
        <x:v>No</x:v>
      </x:c>
      <x:c r="N96" s="108" t="str"/>
      <x:c r="O96" s="108" t="str">
        <x:v>V2 guideline</x:v>
      </x:c>
      <x:c r="P96" s="108" t="str">
        <x:v>SRC-01</x:v>
      </x:c>
      <x:c r="Q96" s="108" t="str"/>
      <x:c r="R96" s="108" t="str">
        <x:v>05 — Verbal Identity</x:v>
      </x:c>
      <x:c r="S96" s="110" t="str">
        <x:v>ChatGPT prefill · 06 Oct 2026</x:v>
      </x:c>
    </x:row>
    <x:row r="97" ht="36" customHeight="1">
      <x:c r="A97" s="107" t="str">
        <x:v>G16</x:v>
      </x:c>
      <x:c r="B97" s="107" t="str">
        <x:v>Verbal identity</x:v>
      </x:c>
      <x:c r="C97" s="107" t="str">
        <x:v>Brand decision</x:v>
      </x:c>
      <x:c r="D97" s="108" t="str">
        <x:v>Should V3.0 include sample signage/wayfinding wording?</x:v>
      </x:c>
      <x:c r="E97" s="108" t="str">
        <x:v>Yes</x:v>
      </x:c>
      <x:c r="F97" s="109" t="str">
        <x:v>Approve recommendation</x:v>
      </x:c>
      <x:c r="G97" s="110"/>
      <x:c r="H97" s="108" t="str">
        <x:f>IF(F97="Approve recommendation",E97,IF(F97="Modify / custom answer",G97,IF(F97="Reject","Rejected",IF(F97="Defer","Deferred",IF(F97="Needs evidence","Pending evidence","")))))</x:f>
        <x:v>Yes</x:v>
      </x:c>
      <x:c r="I97" s="107" t="str">
        <x:f>IF(F97="","Pending",IF(F97="Approve recommendation","Approved",IF(F97="Modify / custom answer",IF(G97="","Action Required","Approved with modification"),IF(F97="Reject","Rejected",IF(F97="Defer","Deferred",IF(F97="Needs evidence","Evidence Required","Pending"))))))</x:f>
        <x:v>Approved</x:v>
      </x:c>
      <x:c r="J97" s="107" t="str">
        <x:v>High</x:v>
      </x:c>
      <x:c r="K97" s="110" t="str">
        <x:v>Brand Owner + Design Custodian</x:v>
      </x:c>
      <x:c r="L97" s="110"/>
      <x:c r="M97" s="108" t="str">
        <x:v>No</x:v>
      </x:c>
      <x:c r="N97" s="108" t="str"/>
      <x:c r="O97" s="108" t="str">
        <x:v>V2 guideline</x:v>
      </x:c>
      <x:c r="P97" s="108" t="str">
        <x:v>SRC-01</x:v>
      </x:c>
      <x:c r="Q97" s="108" t="str"/>
      <x:c r="R97" s="108" t="str">
        <x:v>05 — Verbal Identity</x:v>
      </x:c>
      <x:c r="S97" s="110" t="str">
        <x:v>ChatGPT prefill · 06 Oct 2026</x:v>
      </x:c>
    </x:row>
    <x:row r="98" ht="36" customHeight="1">
      <x:c r="A98" s="107" t="str">
        <x:v>G17</x:v>
      </x:c>
      <x:c r="B98" s="107" t="str">
        <x:v>Verbal identity</x:v>
      </x:c>
      <x:c r="C98" s="107" t="str">
        <x:v>Brand decision</x:v>
      </x:c>
      <x:c r="D98" s="108" t="str">
        <x:v>Should V3.0 include sample digital microcopy?</x:v>
      </x:c>
      <x:c r="E98" s="108" t="str">
        <x:v>Yes</x:v>
      </x:c>
      <x:c r="F98" s="109" t="str">
        <x:v>Approve recommendation</x:v>
      </x:c>
      <x:c r="G98" s="110"/>
      <x:c r="H98" s="108" t="str">
        <x:f>IF(F98="Approve recommendation",E98,IF(F98="Modify / custom answer",G98,IF(F98="Reject","Rejected",IF(F98="Defer","Deferred",IF(F98="Needs evidence","Pending evidence","")))))</x:f>
        <x:v>Yes</x:v>
      </x:c>
      <x:c r="I98" s="107" t="str">
        <x:f>IF(F98="","Pending",IF(F98="Approve recommendation","Approved",IF(F98="Modify / custom answer",IF(G98="","Action Required","Approved with modification"),IF(F98="Reject","Rejected",IF(F98="Defer","Deferred",IF(F98="Needs evidence","Evidence Required","Pending"))))))</x:f>
        <x:v>Approved</x:v>
      </x:c>
      <x:c r="J98" s="107" t="str">
        <x:v>High</x:v>
      </x:c>
      <x:c r="K98" s="110" t="str">
        <x:v>Brand Owner + Design Custodian</x:v>
      </x:c>
      <x:c r="L98" s="110"/>
      <x:c r="M98" s="108" t="str">
        <x:v>No</x:v>
      </x:c>
      <x:c r="N98" s="108" t="str"/>
      <x:c r="O98" s="108" t="str">
        <x:v>V2 guideline</x:v>
      </x:c>
      <x:c r="P98" s="108" t="str">
        <x:v>SRC-01</x:v>
      </x:c>
      <x:c r="Q98" s="108" t="str"/>
      <x:c r="R98" s="108" t="str">
        <x:v>05 — Verbal Identity</x:v>
      </x:c>
      <x:c r="S98" s="110" t="str">
        <x:v>ChatGPT prefill · 06 Oct 2026</x:v>
      </x:c>
    </x:row>
    <x:row r="99" ht="36" customHeight="1">
      <x:c r="A99" s="107" t="str">
        <x:v>G18</x:v>
      </x:c>
      <x:c r="B99" s="107" t="str">
        <x:v>Verbal identity</x:v>
      </x:c>
      <x:c r="C99" s="107" t="str">
        <x:v>Brand decision</x:v>
      </x:c>
      <x:c r="D99" s="108" t="str">
        <x:v>Should Arabic tone follow the same character rather than literal English translation?</x:v>
      </x:c>
      <x:c r="E99" s="108" t="str">
        <x:v>Yes</x:v>
      </x:c>
      <x:c r="F99" s="109" t="str">
        <x:v>Approve recommendation</x:v>
      </x:c>
      <x:c r="G99" s="110"/>
      <x:c r="H99" s="108" t="str">
        <x:f>IF(F99="Approve recommendation",E99,IF(F99="Modify / custom answer",G99,IF(F99="Reject","Rejected",IF(F99="Defer","Deferred",IF(F99="Needs evidence","Pending evidence","")))))</x:f>
        <x:v>Yes</x:v>
      </x:c>
      <x:c r="I99" s="107" t="str">
        <x:f>IF(F99="","Pending",IF(F99="Approve recommendation","Approved",IF(F99="Modify / custom answer",IF(G99="","Action Required","Approved with modification"),IF(F99="Reject","Rejected",IF(F99="Defer","Deferred",IF(F99="Needs evidence","Evidence Required","Pending"))))))</x:f>
        <x:v>Approved</x:v>
      </x:c>
      <x:c r="J99" s="107" t="str">
        <x:v>High</x:v>
      </x:c>
      <x:c r="K99" s="110" t="str">
        <x:v>Brand Owner + Design Custodian</x:v>
      </x:c>
      <x:c r="L99" s="110"/>
      <x:c r="M99" s="108" t="str">
        <x:v>No</x:v>
      </x:c>
      <x:c r="N99" s="108" t="str"/>
      <x:c r="O99" s="108" t="str">
        <x:v>V2 guideline</x:v>
      </x:c>
      <x:c r="P99" s="108" t="str">
        <x:v>SRC-01</x:v>
      </x:c>
      <x:c r="Q99" s="108" t="str"/>
      <x:c r="R99" s="108" t="str">
        <x:v>05 — Verbal Identity</x:v>
      </x:c>
      <x:c r="S99" s="110" t="str">
        <x:v>ChatGPT prefill · 06 Oct 2026</x:v>
      </x:c>
    </x:row>
    <x:row r="100" ht="36" customHeight="1">
      <x:c r="A100" s="107" t="str">
        <x:v>H01</x:v>
      </x:c>
      <x:c r="B100" s="107" t="str">
        <x:v>Logo master artwork</x:v>
      </x:c>
      <x:c r="C100" s="107" t="str">
        <x:v>Brand decision</x:v>
      </x:c>
      <x:c r="D100" s="108" t="str">
        <x:v>Is the existing V2 G-ring/spark symbol the final symbol?</x:v>
      </x:c>
      <x:c r="E100" s="108" t="str">
        <x:v>Yes</x:v>
      </x:c>
      <x:c r="F100" s="109" t="str">
        <x:v>Approve recommendation</x:v>
      </x:c>
      <x:c r="G100" s="110"/>
      <x:c r="H100" s="108" t="str">
        <x:f>IF(F100="Approve recommendation",E100,IF(F100="Modify / custom answer",G100,IF(F100="Reject","Rejected",IF(F100="Defer","Deferred",IF(F100="Needs evidence","Pending evidence","")))))</x:f>
        <x:v>Yes</x:v>
      </x:c>
      <x:c r="I100" s="107" t="str">
        <x:f>IF(F100="","Pending",IF(F100="Approve recommendation","Approved",IF(F100="Modify / custom answer",IF(G100="","Action Required","Approved with modification"),IF(F100="Reject","Rejected",IF(F100="Defer","Deferred",IF(F100="Needs evidence","Evidence Required","Pending"))))))</x:f>
        <x:v>Approved</x:v>
      </x:c>
      <x:c r="J100" s="107" t="str">
        <x:v>Critical</x:v>
      </x:c>
      <x:c r="K100" s="110" t="str">
        <x:v>Design Custodian</x:v>
      </x:c>
      <x:c r="L100" s="110"/>
      <x:c r="M100" s="108" t="str">
        <x:v>No</x:v>
      </x:c>
      <x:c r="N100" s="108" t="str"/>
      <x:c r="O100" s="108" t="str">
        <x:v>V2 guideline + V2 audit</x:v>
      </x:c>
      <x:c r="P100" s="108" t="str">
        <x:v>SRC-01, SRC-02</x:v>
      </x:c>
      <x:c r="Q100" s="108" t="str"/>
      <x:c r="R100" s="108" t="str">
        <x:v>06 — Logo System</x:v>
      </x:c>
      <x:c r="S100" s="110" t="str">
        <x:v>ChatGPT prefill · 06 Oct 2026</x:v>
      </x:c>
    </x:row>
    <x:row r="101" ht="36" customHeight="1">
      <x:c r="A101" s="107" t="str">
        <x:v>H02</x:v>
      </x:c>
      <x:c r="B101" s="107" t="str">
        <x:v>Logo master artwork</x:v>
      </x:c>
      <x:c r="C101" s="107" t="str">
        <x:v>Brand decision</x:v>
      </x:c>
      <x:c r="D101" s="108" t="str">
        <x:v>Is the current GEM wordmark final?</x:v>
      </x:c>
      <x:c r="E101" s="108" t="str">
        <x:v>Yes</x:v>
      </x:c>
      <x:c r="F101" s="109" t="str">
        <x:v>Approve recommendation</x:v>
      </x:c>
      <x:c r="G101" s="110"/>
      <x:c r="H101" s="108" t="str">
        <x:f>IF(F101="Approve recommendation",E101,IF(F101="Modify / custom answer",G101,IF(F101="Reject","Rejected",IF(F101="Defer","Deferred",IF(F101="Needs evidence","Pending evidence","")))))</x:f>
        <x:v>Yes</x:v>
      </x:c>
      <x:c r="I101" s="107" t="str">
        <x:f>IF(F101="","Pending",IF(F101="Approve recommendation","Approved",IF(F101="Modify / custom answer",IF(G101="","Action Required","Approved with modification"),IF(F101="Reject","Rejected",IF(F101="Defer","Deferred",IF(F101="Needs evidence","Evidence Required","Pending"))))))</x:f>
        <x:v>Approved</x:v>
      </x:c>
      <x:c r="J101" s="107" t="str">
        <x:v>Critical</x:v>
      </x:c>
      <x:c r="K101" s="110" t="str">
        <x:v>Design Custodian</x:v>
      </x:c>
      <x:c r="L101" s="110"/>
      <x:c r="M101" s="108" t="str">
        <x:v>No</x:v>
      </x:c>
      <x:c r="N101" s="108" t="str"/>
      <x:c r="O101" s="108" t="str">
        <x:v>V2 guideline + V2 audit</x:v>
      </x:c>
      <x:c r="P101" s="108" t="str">
        <x:v>SRC-01, SRC-02</x:v>
      </x:c>
      <x:c r="Q101" s="108" t="str"/>
      <x:c r="R101" s="108" t="str">
        <x:v>06 — Logo System</x:v>
      </x:c>
      <x:c r="S101" s="110" t="str">
        <x:v>ChatGPT prefill · 06 Oct 2026</x:v>
      </x:c>
    </x:row>
    <x:row r="102" ht="36" customHeight="1">
      <x:c r="A102" s="107" t="str">
        <x:v>H03</x:v>
      </x:c>
      <x:c r="B102" s="107" t="str">
        <x:v>Logo master artwork</x:v>
      </x:c>
      <x:c r="C102" s="107" t="str">
        <x:v>Brand decision</x:v>
      </x:c>
      <x:c r="D102" s="108" t="str">
        <x:v>May either be redrawn?</x:v>
      </x:c>
      <x:c r="E102" s="108" t="str">
        <x:v>No</x:v>
      </x:c>
      <x:c r="F102" s="109" t="str">
        <x:v>Approve recommendation</x:v>
      </x:c>
      <x:c r="G102" s="110"/>
      <x:c r="H102" s="108" t="str">
        <x:f>IF(F102="Approve recommendation",E102,IF(F102="Modify / custom answer",G102,IF(F102="Reject","Rejected",IF(F102="Defer","Deferred",IF(F102="Needs evidence","Pending evidence","")))))</x:f>
        <x:v>No</x:v>
      </x:c>
      <x:c r="I102" s="107" t="str">
        <x:f>IF(F102="","Pending",IF(F102="Approve recommendation","Approved",IF(F102="Modify / custom answer",IF(G102="","Action Required","Approved with modification"),IF(F102="Reject","Rejected",IF(F102="Defer","Deferred",IF(F102="Needs evidence","Evidence Required","Pending"))))))</x:f>
        <x:v>Approved</x:v>
      </x:c>
      <x:c r="J102" s="107" t="str">
        <x:v>Critical</x:v>
      </x:c>
      <x:c r="K102" s="110" t="str">
        <x:v>Design Custodian</x:v>
      </x:c>
      <x:c r="L102" s="110"/>
      <x:c r="M102" s="108" t="str">
        <x:v>No</x:v>
      </x:c>
      <x:c r="N102" s="108" t="str"/>
      <x:c r="O102" s="108" t="str">
        <x:v>V2 guideline + V2 audit</x:v>
      </x:c>
      <x:c r="P102" s="108" t="str">
        <x:v>SRC-01, SRC-02</x:v>
      </x:c>
      <x:c r="Q102" s="108" t="str"/>
      <x:c r="R102" s="108" t="str">
        <x:v>06 — Logo System</x:v>
      </x:c>
      <x:c r="S102" s="110" t="str">
        <x:v>ChatGPT prefill · 06 Oct 2026</x:v>
      </x:c>
    </x:row>
    <x:row r="103" ht="36" customHeight="1">
      <x:c r="A103" s="107" t="str">
        <x:v>H04</x:v>
      </x:c>
      <x:c r="B103" s="107" t="str">
        <x:v>Logo master artwork</x:v>
      </x:c>
      <x:c r="C103" s="107" t="str">
        <x:v>Brand decision</x:v>
      </x:c>
      <x:c r="D103" s="108" t="str">
        <x:v>Is the horizontal signature the primary lockup?</x:v>
      </x:c>
      <x:c r="E103" s="108" t="str">
        <x:v>Yes</x:v>
      </x:c>
      <x:c r="F103" s="109" t="str">
        <x:v>Approve recommendation</x:v>
      </x:c>
      <x:c r="G103" s="110"/>
      <x:c r="H103" s="108" t="str">
        <x:f>IF(F103="Approve recommendation",E103,IF(F103="Modify / custom answer",G103,IF(F103="Reject","Rejected",IF(F103="Defer","Deferred",IF(F103="Needs evidence","Pending evidence","")))))</x:f>
        <x:v>Yes</x:v>
      </x:c>
      <x:c r="I103" s="107" t="str">
        <x:f>IF(F103="","Pending",IF(F103="Approve recommendation","Approved",IF(F103="Modify / custom answer",IF(G103="","Action Required","Approved with modification"),IF(F103="Reject","Rejected",IF(F103="Defer","Deferred",IF(F103="Needs evidence","Evidence Required","Pending"))))))</x:f>
        <x:v>Approved</x:v>
      </x:c>
      <x:c r="J103" s="107" t="str">
        <x:v>Critical</x:v>
      </x:c>
      <x:c r="K103" s="110" t="str">
        <x:v>Design Custodian</x:v>
      </x:c>
      <x:c r="L103" s="110"/>
      <x:c r="M103" s="108" t="str">
        <x:v>No</x:v>
      </x:c>
      <x:c r="N103" s="108" t="str"/>
      <x:c r="O103" s="108" t="str">
        <x:v>V2 guideline + V2 audit</x:v>
      </x:c>
      <x:c r="P103" s="108" t="str">
        <x:v>SRC-01, SRC-02</x:v>
      </x:c>
      <x:c r="Q103" s="108" t="str"/>
      <x:c r="R103" s="108" t="str">
        <x:v>06 — Logo System</x:v>
      </x:c>
      <x:c r="S103" s="110" t="str">
        <x:v>ChatGPT prefill · 06 Oct 2026</x:v>
      </x:c>
    </x:row>
    <x:row r="104" ht="36" customHeight="1">
      <x:c r="A104" s="107" t="str">
        <x:v>H05</x:v>
      </x:c>
      <x:c r="B104" s="107" t="str">
        <x:v>Logo master artwork</x:v>
      </x:c>
      <x:c r="C104" s="107" t="str">
        <x:v>Brand decision</x:v>
      </x:c>
      <x:c r="D104" s="108" t="str">
        <x:v>Keep stacked lockup?</x:v>
      </x:c>
      <x:c r="E104" s="108" t="str">
        <x:v>Yes, if production artwork is verified</x:v>
      </x:c>
      <x:c r="F104" s="109" t="str">
        <x:v>Approve recommendation</x:v>
      </x:c>
      <x:c r="G104" s="110"/>
      <x:c r="H104" s="108" t="str">
        <x:f>IF(F104="Approve recommendation",E104,IF(F104="Modify / custom answer",G104,IF(F104="Reject","Rejected",IF(F104="Defer","Deferred",IF(F104="Needs evidence","Pending evidence","")))))</x:f>
        <x:v>Yes, if production artwork is verified</x:v>
      </x:c>
      <x:c r="I104" s="107" t="str">
        <x:f>IF(F104="","Pending",IF(F104="Approve recommendation","Approved",IF(F104="Modify / custom answer",IF(G104="","Action Required","Approved with modification"),IF(F104="Reject","Rejected",IF(F104="Defer","Deferred",IF(F104="Needs evidence","Evidence Required","Pending"))))))</x:f>
        <x:v>Approved</x:v>
      </x:c>
      <x:c r="J104" s="107" t="str">
        <x:v>Critical</x:v>
      </x:c>
      <x:c r="K104" s="110" t="str">
        <x:v>Design Custodian</x:v>
      </x:c>
      <x:c r="L104" s="110"/>
      <x:c r="M104" s="108" t="str">
        <x:v>No</x:v>
      </x:c>
      <x:c r="N104" s="108" t="str"/>
      <x:c r="O104" s="108" t="str">
        <x:v>V2 guideline + V2 audit</x:v>
      </x:c>
      <x:c r="P104" s="108" t="str">
        <x:v>SRC-01, SRC-02</x:v>
      </x:c>
      <x:c r="Q104" s="108" t="str"/>
      <x:c r="R104" s="108" t="str">
        <x:v>06 — Logo System</x:v>
      </x:c>
      <x:c r="S104" s="110" t="str">
        <x:v>ChatGPT prefill · 06 Oct 2026</x:v>
      </x:c>
    </x:row>
    <x:row r="105" ht="36" customHeight="1">
      <x:c r="A105" s="107" t="str">
        <x:v>H06</x:v>
      </x:c>
      <x:c r="B105" s="107" t="str">
        <x:v>Logo master artwork</x:v>
      </x:c>
      <x:c r="C105" s="107" t="str">
        <x:v>Brand decision</x:v>
      </x:c>
      <x:c r="D105" s="108" t="str">
        <x:v>Keep standalone symbol?</x:v>
      </x:c>
      <x:c r="E105" s="108" t="str">
        <x:v>Yes</x:v>
      </x:c>
      <x:c r="F105" s="109" t="str">
        <x:v>Approve recommendation</x:v>
      </x:c>
      <x:c r="G105" s="110"/>
      <x:c r="H105" s="108" t="str">
        <x:f>IF(F105="Approve recommendation",E105,IF(F105="Modify / custom answer",G105,IF(F105="Reject","Rejected",IF(F105="Defer","Deferred",IF(F105="Needs evidence","Pending evidence","")))))</x:f>
        <x:v>Yes</x:v>
      </x:c>
      <x:c r="I105" s="107" t="str">
        <x:f>IF(F105="","Pending",IF(F105="Approve recommendation","Approved",IF(F105="Modify / custom answer",IF(G105="","Action Required","Approved with modification"),IF(F105="Reject","Rejected",IF(F105="Defer","Deferred",IF(F105="Needs evidence","Evidence Required","Pending"))))))</x:f>
        <x:v>Approved</x:v>
      </x:c>
      <x:c r="J105" s="107" t="str">
        <x:v>Critical</x:v>
      </x:c>
      <x:c r="K105" s="110" t="str">
        <x:v>Design Custodian</x:v>
      </x:c>
      <x:c r="L105" s="110"/>
      <x:c r="M105" s="108" t="str">
        <x:v>No</x:v>
      </x:c>
      <x:c r="N105" s="108" t="str"/>
      <x:c r="O105" s="108" t="str">
        <x:v>V2 guideline + V2 audit</x:v>
      </x:c>
      <x:c r="P105" s="108" t="str">
        <x:v>SRC-01, SRC-02</x:v>
      </x:c>
      <x:c r="Q105" s="108" t="str"/>
      <x:c r="R105" s="108" t="str">
        <x:v>06 — Logo System</x:v>
      </x:c>
      <x:c r="S105" s="110" t="str">
        <x:v>ChatGPT prefill · 06 Oct 2026</x:v>
      </x:c>
    </x:row>
    <x:row r="106" ht="36" customHeight="1">
      <x:c r="A106" s="107" t="str">
        <x:v>H07</x:v>
      </x:c>
      <x:c r="B106" s="107" t="str">
        <x:v>Logo master artwork</x:v>
      </x:c>
      <x:c r="C106" s="107" t="str">
        <x:v>Brand decision</x:v>
      </x:c>
      <x:c r="D106" s="108" t="str">
        <x:v>Keep reversed logo?</x:v>
      </x:c>
      <x:c r="E106" s="108" t="str">
        <x:v>Yes</x:v>
      </x:c>
      <x:c r="F106" s="109" t="str">
        <x:v>Approve recommendation</x:v>
      </x:c>
      <x:c r="G106" s="110"/>
      <x:c r="H106" s="108" t="str">
        <x:f>IF(F106="Approve recommendation",E106,IF(F106="Modify / custom answer",G106,IF(F106="Reject","Rejected",IF(F106="Defer","Deferred",IF(F106="Needs evidence","Pending evidence","")))))</x:f>
        <x:v>Yes</x:v>
      </x:c>
      <x:c r="I106" s="107" t="str">
        <x:f>IF(F106="","Pending",IF(F106="Approve recommendation","Approved",IF(F106="Modify / custom answer",IF(G106="","Action Required","Approved with modification"),IF(F106="Reject","Rejected",IF(F106="Defer","Deferred",IF(F106="Needs evidence","Evidence Required","Pending"))))))</x:f>
        <x:v>Approved</x:v>
      </x:c>
      <x:c r="J106" s="107" t="str">
        <x:v>Critical</x:v>
      </x:c>
      <x:c r="K106" s="110" t="str">
        <x:v>Design Custodian</x:v>
      </x:c>
      <x:c r="L106" s="110"/>
      <x:c r="M106" s="108" t="str">
        <x:v>No</x:v>
      </x:c>
      <x:c r="N106" s="108" t="str"/>
      <x:c r="O106" s="108" t="str">
        <x:v>V2 guideline + V2 audit</x:v>
      </x:c>
      <x:c r="P106" s="108" t="str">
        <x:v>SRC-01, SRC-02</x:v>
      </x:c>
      <x:c r="Q106" s="108" t="str"/>
      <x:c r="R106" s="108" t="str">
        <x:v>06 — Logo System</x:v>
      </x:c>
      <x:c r="S106" s="110" t="str">
        <x:v>ChatGPT prefill · 06 Oct 2026</x:v>
      </x:c>
    </x:row>
    <x:row r="107" ht="36" customHeight="1">
      <x:c r="A107" s="107" t="str">
        <x:v>H08</x:v>
      </x:c>
      <x:c r="B107" s="107" t="str">
        <x:v>Logo master artwork</x:v>
      </x:c>
      <x:c r="C107" s="107" t="str">
        <x:v>Brand decision</x:v>
      </x:c>
      <x:c r="D107" s="108" t="str">
        <x:v>Maintain monochrome black version?</x:v>
      </x:c>
      <x:c r="E107" s="108" t="str">
        <x:v>Yes</x:v>
      </x:c>
      <x:c r="F107" s="109" t="str">
        <x:v>Approve recommendation</x:v>
      </x:c>
      <x:c r="G107" s="110"/>
      <x:c r="H107" s="108" t="str">
        <x:f>IF(F107="Approve recommendation",E107,IF(F107="Modify / custom answer",G107,IF(F107="Reject","Rejected",IF(F107="Defer","Deferred",IF(F107="Needs evidence","Pending evidence","")))))</x:f>
        <x:v>Yes</x:v>
      </x:c>
      <x:c r="I107" s="107" t="str">
        <x:f>IF(F107="","Pending",IF(F107="Approve recommendation","Approved",IF(F107="Modify / custom answer",IF(G107="","Action Required","Approved with modification"),IF(F107="Reject","Rejected",IF(F107="Defer","Deferred",IF(F107="Needs evidence","Evidence Required","Pending"))))))</x:f>
        <x:v>Approved</x:v>
      </x:c>
      <x:c r="J107" s="107" t="str">
        <x:v>Critical</x:v>
      </x:c>
      <x:c r="K107" s="110" t="str">
        <x:v>Design Custodian</x:v>
      </x:c>
      <x:c r="L107" s="110"/>
      <x:c r="M107" s="108" t="str">
        <x:v>No</x:v>
      </x:c>
      <x:c r="N107" s="108" t="str"/>
      <x:c r="O107" s="108" t="str">
        <x:v>V2 guideline + V2 audit</x:v>
      </x:c>
      <x:c r="P107" s="108" t="str">
        <x:v>SRC-01, SRC-02</x:v>
      </x:c>
      <x:c r="Q107" s="108" t="str"/>
      <x:c r="R107" s="108" t="str">
        <x:v>06 — Logo System</x:v>
      </x:c>
      <x:c r="S107" s="110" t="str">
        <x:v>ChatGPT prefill · 06 Oct 2026</x:v>
      </x:c>
    </x:row>
    <x:row r="108" ht="36" customHeight="1">
      <x:c r="A108" s="107" t="str">
        <x:v>H09</x:v>
      </x:c>
      <x:c r="B108" s="107" t="str">
        <x:v>Logo master artwork</x:v>
      </x:c>
      <x:c r="C108" s="107" t="str">
        <x:v>Brand decision</x:v>
      </x:c>
      <x:c r="D108" s="108" t="str">
        <x:v>Maintain simplified no-spark micro symbol below the specified size?</x:v>
      </x:c>
      <x:c r="E108" s="108" t="str">
        <x:v>Yes</x:v>
      </x:c>
      <x:c r="F108" s="109" t="str">
        <x:v>Approve recommendation</x:v>
      </x:c>
      <x:c r="G108" s="110"/>
      <x:c r="H108" s="108" t="str">
        <x:f>IF(F108="Approve recommendation",E108,IF(F108="Modify / custom answer",G108,IF(F108="Reject","Rejected",IF(F108="Defer","Deferred",IF(F108="Needs evidence","Pending evidence","")))))</x:f>
        <x:v>Yes</x:v>
      </x:c>
      <x:c r="I108" s="107" t="str">
        <x:f>IF(F108="","Pending",IF(F108="Approve recommendation","Approved",IF(F108="Modify / custom answer",IF(G108="","Action Required","Approved with modification"),IF(F108="Reject","Rejected",IF(F108="Defer","Deferred",IF(F108="Needs evidence","Evidence Required","Pending"))))))</x:f>
        <x:v>Approved</x:v>
      </x:c>
      <x:c r="J108" s="107" t="str">
        <x:v>Critical</x:v>
      </x:c>
      <x:c r="K108" s="110" t="str">
        <x:v>Design Custodian</x:v>
      </x:c>
      <x:c r="L108" s="110"/>
      <x:c r="M108" s="108" t="str">
        <x:v>No</x:v>
      </x:c>
      <x:c r="N108" s="108" t="str"/>
      <x:c r="O108" s="108" t="str">
        <x:v>V2 guideline + V2 audit</x:v>
      </x:c>
      <x:c r="P108" s="108" t="str">
        <x:v>SRC-01, SRC-02</x:v>
      </x:c>
      <x:c r="Q108" s="108" t="str"/>
      <x:c r="R108" s="108" t="str">
        <x:v>06 — Logo System</x:v>
      </x:c>
      <x:c r="S108" s="110" t="str">
        <x:v>ChatGPT prefill · 06 Oct 2026</x:v>
      </x:c>
    </x:row>
    <x:row r="109" ht="36" customHeight="1">
      <x:c r="A109" s="107" t="str">
        <x:v>H10</x:v>
      </x:c>
      <x:c r="B109" s="107" t="str">
        <x:v>Logo master artwork</x:v>
      </x:c>
      <x:c r="C109" s="107" t="str">
        <x:v>Brand decision</x:v>
      </x:c>
      <x:c r="D109" s="108" t="str">
        <x:v>Primary lockup minimum digital width</x:v>
      </x:c>
      <x:c r="E109" s="108" t="str">
        <x:v>120 px</x:v>
      </x:c>
      <x:c r="F109" s="109" t="str">
        <x:v>Approve recommendation</x:v>
      </x:c>
      <x:c r="G109" s="110"/>
      <x:c r="H109" s="108" t="str">
        <x:f>IF(F109="Approve recommendation",E109,IF(F109="Modify / custom answer",G109,IF(F109="Reject","Rejected",IF(F109="Defer","Deferred",IF(F109="Needs evidence","Pending evidence","")))))</x:f>
        <x:v>120 px</x:v>
      </x:c>
      <x:c r="I109" s="107" t="str">
        <x:f>IF(F109="","Pending",IF(F109="Approve recommendation","Approved",IF(F109="Modify / custom answer",IF(G109="","Action Required","Approved with modification"),IF(F109="Reject","Rejected",IF(F109="Defer","Deferred",IF(F109="Needs evidence","Evidence Required","Pending"))))))</x:f>
        <x:v>Approved</x:v>
      </x:c>
      <x:c r="J109" s="107" t="str">
        <x:v>Critical</x:v>
      </x:c>
      <x:c r="K109" s="110" t="str">
        <x:v>Design Custodian</x:v>
      </x:c>
      <x:c r="L109" s="110"/>
      <x:c r="M109" s="108" t="str">
        <x:v>No</x:v>
      </x:c>
      <x:c r="N109" s="108" t="str"/>
      <x:c r="O109" s="108" t="str">
        <x:v>V2 guideline + V2 audit</x:v>
      </x:c>
      <x:c r="P109" s="108" t="str">
        <x:v>SRC-01, SRC-02</x:v>
      </x:c>
      <x:c r="Q109" s="108" t="str"/>
      <x:c r="R109" s="108" t="str">
        <x:v>06 — Logo System</x:v>
      </x:c>
      <x:c r="S109" s="110" t="str">
        <x:v>ChatGPT prefill · 06 Oct 2026</x:v>
      </x:c>
    </x:row>
    <x:row r="110" ht="36" customHeight="1">
      <x:c r="A110" s="107" t="str">
        <x:v>H11</x:v>
      </x:c>
      <x:c r="B110" s="107" t="str">
        <x:v>Logo master artwork</x:v>
      </x:c>
      <x:c r="C110" s="107" t="str">
        <x:v>Brand decision</x:v>
      </x:c>
      <x:c r="D110" s="108" t="str">
        <x:v>Standalone symbol minimum</x:v>
      </x:c>
      <x:c r="E110" s="108" t="str">
        <x:v>32 px</x:v>
      </x:c>
      <x:c r="F110" s="109" t="str">
        <x:v>Approve recommendation</x:v>
      </x:c>
      <x:c r="G110" s="110"/>
      <x:c r="H110" s="108" t="str">
        <x:f>IF(F110="Approve recommendation",E110,IF(F110="Modify / custom answer",G110,IF(F110="Reject","Rejected",IF(F110="Defer","Deferred",IF(F110="Needs evidence","Pending evidence","")))))</x:f>
        <x:v>32 px</x:v>
      </x:c>
      <x:c r="I110" s="107" t="str">
        <x:f>IF(F110="","Pending",IF(F110="Approve recommendation","Approved",IF(F110="Modify / custom answer",IF(G110="","Action Required","Approved with modification"),IF(F110="Reject","Rejected",IF(F110="Defer","Deferred",IF(F110="Needs evidence","Evidence Required","Pending"))))))</x:f>
        <x:v>Approved</x:v>
      </x:c>
      <x:c r="J110" s="107" t="str">
        <x:v>Critical</x:v>
      </x:c>
      <x:c r="K110" s="110" t="str">
        <x:v>Design Custodian</x:v>
      </x:c>
      <x:c r="L110" s="110"/>
      <x:c r="M110" s="108" t="str">
        <x:v>No</x:v>
      </x:c>
      <x:c r="N110" s="108" t="str"/>
      <x:c r="O110" s="108" t="str">
        <x:v>V2 guideline + V2 audit</x:v>
      </x:c>
      <x:c r="P110" s="108" t="str">
        <x:v>SRC-01, SRC-02</x:v>
      </x:c>
      <x:c r="Q110" s="108" t="str"/>
      <x:c r="R110" s="108" t="str">
        <x:v>06 — Logo System</x:v>
      </x:c>
      <x:c r="S110" s="110" t="str">
        <x:v>ChatGPT prefill · 06 Oct 2026</x:v>
      </x:c>
    </x:row>
    <x:row r="111" ht="36" customHeight="1">
      <x:c r="A111" s="107" t="str">
        <x:v>H12</x:v>
      </x:c>
      <x:c r="B111" s="107" t="str">
        <x:v>Logo master artwork</x:v>
      </x:c>
      <x:c r="C111" s="107" t="str">
        <x:v>Brand decision</x:v>
      </x:c>
      <x:c r="D111" s="108" t="str">
        <x:v>Below 32 px use no-spark version?</x:v>
      </x:c>
      <x:c r="E111" s="108" t="str">
        <x:v>Yes</x:v>
      </x:c>
      <x:c r="F111" s="109" t="str">
        <x:v>Approve recommendation</x:v>
      </x:c>
      <x:c r="G111" s="110"/>
      <x:c r="H111" s="108" t="str">
        <x:f>IF(F111="Approve recommendation",E111,IF(F111="Modify / custom answer",G111,IF(F111="Reject","Rejected",IF(F111="Defer","Deferred",IF(F111="Needs evidence","Pending evidence","")))))</x:f>
        <x:v>Yes</x:v>
      </x:c>
      <x:c r="I111" s="107" t="str">
        <x:f>IF(F111="","Pending",IF(F111="Approve recommendation","Approved",IF(F111="Modify / custom answer",IF(G111="","Action Required","Approved with modification"),IF(F111="Reject","Rejected",IF(F111="Defer","Deferred",IF(F111="Needs evidence","Evidence Required","Pending"))))))</x:f>
        <x:v>Approved</x:v>
      </x:c>
      <x:c r="J111" s="107" t="str">
        <x:v>Critical</x:v>
      </x:c>
      <x:c r="K111" s="110" t="str">
        <x:v>Design Custodian</x:v>
      </x:c>
      <x:c r="L111" s="110"/>
      <x:c r="M111" s="108" t="str">
        <x:v>No</x:v>
      </x:c>
      <x:c r="N111" s="108" t="str"/>
      <x:c r="O111" s="108" t="str">
        <x:v>V2 guideline + V2 audit</x:v>
      </x:c>
      <x:c r="P111" s="108" t="str">
        <x:v>SRC-01, SRC-02</x:v>
      </x:c>
      <x:c r="Q111" s="108" t="str"/>
      <x:c r="R111" s="108" t="str">
        <x:v>06 — Logo System</x:v>
      </x:c>
      <x:c r="S111" s="110" t="str">
        <x:v>ChatGPT prefill · 06 Oct 2026</x:v>
      </x:c>
    </x:row>
    <x:row r="112" ht="36" customHeight="1">
      <x:c r="A112" s="107" t="str">
        <x:v>H13</x:v>
      </x:c>
      <x:c r="B112" s="107" t="str">
        <x:v>Logo master artwork</x:v>
      </x:c>
      <x:c r="C112" s="107" t="str">
        <x:v>Brand decision</x:v>
      </x:c>
      <x:c r="D112" s="108" t="str">
        <x:v>Is clearspace u = G-ring radius final?</x:v>
      </x:c>
      <x:c r="E112" s="108" t="str">
        <x:v>Yes</x:v>
      </x:c>
      <x:c r="F112" s="109" t="str">
        <x:v>Approve recommendation</x:v>
      </x:c>
      <x:c r="G112" s="110"/>
      <x:c r="H112" s="108" t="str">
        <x:f>IF(F112="Approve recommendation",E112,IF(F112="Modify / custom answer",G112,IF(F112="Reject","Rejected",IF(F112="Defer","Deferred",IF(F112="Needs evidence","Pending evidence","")))))</x:f>
        <x:v>Yes</x:v>
      </x:c>
      <x:c r="I112" s="107" t="str">
        <x:f>IF(F112="","Pending",IF(F112="Approve recommendation","Approved",IF(F112="Modify / custom answer",IF(G112="","Action Required","Approved with modification"),IF(F112="Reject","Rejected",IF(F112="Defer","Deferred",IF(F112="Needs evidence","Evidence Required","Pending"))))))</x:f>
        <x:v>Approved</x:v>
      </x:c>
      <x:c r="J112" s="107" t="str">
        <x:v>Critical</x:v>
      </x:c>
      <x:c r="K112" s="110" t="str">
        <x:v>Design Custodian</x:v>
      </x:c>
      <x:c r="L112" s="110"/>
      <x:c r="M112" s="108" t="str">
        <x:v>No</x:v>
      </x:c>
      <x:c r="N112" s="108" t="str"/>
      <x:c r="O112" s="108" t="str">
        <x:v>V2 guideline + V2 audit</x:v>
      </x:c>
      <x:c r="P112" s="108" t="str">
        <x:v>SRC-01, SRC-02</x:v>
      </x:c>
      <x:c r="Q112" s="108" t="str"/>
      <x:c r="R112" s="108" t="str">
        <x:v>06 — Logo System</x:v>
      </x:c>
      <x:c r="S112" s="110" t="str">
        <x:v>ChatGPT prefill · 06 Oct 2026</x:v>
      </x:c>
    </x:row>
    <x:row r="113" ht="36" customHeight="1">
      <x:c r="A113" s="107" t="str">
        <x:v>H14</x:v>
      </x:c>
      <x:c r="B113" s="107" t="str">
        <x:v>Logo master artwork</x:v>
      </x:c>
      <x:c r="C113" s="107" t="str">
        <x:v>Brand decision</x:v>
      </x:c>
      <x:c r="D113" s="108" t="str">
        <x:v>Minimum clearspace = one u?</x:v>
      </x:c>
      <x:c r="E113" s="108" t="str">
        <x:v>Yes</x:v>
      </x:c>
      <x:c r="F113" s="109" t="str">
        <x:v>Approve recommendation</x:v>
      </x:c>
      <x:c r="G113" s="110"/>
      <x:c r="H113" s="108" t="str">
        <x:f>IF(F113="Approve recommendation",E113,IF(F113="Modify / custom answer",G113,IF(F113="Reject","Rejected",IF(F113="Defer","Deferred",IF(F113="Needs evidence","Pending evidence","")))))</x:f>
        <x:v>Yes</x:v>
      </x:c>
      <x:c r="I113" s="107" t="str">
        <x:f>IF(F113="","Pending",IF(F113="Approve recommendation","Approved",IF(F113="Modify / custom answer",IF(G113="","Action Required","Approved with modification"),IF(F113="Reject","Rejected",IF(F113="Defer","Deferred",IF(F113="Needs evidence","Evidence Required","Pending"))))))</x:f>
        <x:v>Approved</x:v>
      </x:c>
      <x:c r="J113" s="107" t="str">
        <x:v>Critical</x:v>
      </x:c>
      <x:c r="K113" s="110" t="str">
        <x:v>Design Custodian</x:v>
      </x:c>
      <x:c r="L113" s="110"/>
      <x:c r="M113" s="108" t="str">
        <x:v>No</x:v>
      </x:c>
      <x:c r="N113" s="108" t="str"/>
      <x:c r="O113" s="108" t="str">
        <x:v>V2 guideline + V2 audit</x:v>
      </x:c>
      <x:c r="P113" s="108" t="str">
        <x:v>SRC-01, SRC-02</x:v>
      </x:c>
      <x:c r="Q113" s="108" t="str"/>
      <x:c r="R113" s="108" t="str">
        <x:v>06 — Logo System</x:v>
      </x:c>
      <x:c r="S113" s="110" t="str">
        <x:v>ChatGPT prefill · 06 Oct 2026</x:v>
      </x:c>
    </x:row>
    <x:row r="114" ht="36" customHeight="1">
      <x:c r="A114" s="107" t="str">
        <x:v>H15</x:v>
      </x:c>
      <x:c r="B114" s="107" t="str">
        <x:v>Logo master artwork</x:v>
      </x:c>
      <x:c r="C114" s="107" t="str">
        <x:v>Brand decision</x:v>
      </x:c>
      <x:c r="D114" s="108" t="str">
        <x:v>Preferred clearspace where possible = two u?</x:v>
      </x:c>
      <x:c r="E114" s="108" t="str">
        <x:v>Yes</x:v>
      </x:c>
      <x:c r="F114" s="109" t="str">
        <x:v>Approve recommendation</x:v>
      </x:c>
      <x:c r="G114" s="110"/>
      <x:c r="H114" s="108" t="str">
        <x:f>IF(F114="Approve recommendation",E114,IF(F114="Modify / custom answer",G114,IF(F114="Reject","Rejected",IF(F114="Defer","Deferred",IF(F114="Needs evidence","Pending evidence","")))))</x:f>
        <x:v>Yes</x:v>
      </x:c>
      <x:c r="I114" s="107" t="str">
        <x:f>IF(F114="","Pending",IF(F114="Approve recommendation","Approved",IF(F114="Modify / custom answer",IF(G114="","Action Required","Approved with modification"),IF(F114="Reject","Rejected",IF(F114="Defer","Deferred",IF(F114="Needs evidence","Evidence Required","Pending"))))))</x:f>
        <x:v>Approved</x:v>
      </x:c>
      <x:c r="J114" s="107" t="str">
        <x:v>Critical</x:v>
      </x:c>
      <x:c r="K114" s="110" t="str">
        <x:v>Design Custodian</x:v>
      </x:c>
      <x:c r="L114" s="110"/>
      <x:c r="M114" s="108" t="str">
        <x:v>No</x:v>
      </x:c>
      <x:c r="N114" s="108" t="str"/>
      <x:c r="O114" s="108" t="str">
        <x:v>V2 guideline + V2 audit</x:v>
      </x:c>
      <x:c r="P114" s="108" t="str">
        <x:v>SRC-01, SRC-02</x:v>
      </x:c>
      <x:c r="Q114" s="108" t="str"/>
      <x:c r="R114" s="108" t="str">
        <x:v>06 — Logo System</x:v>
      </x:c>
      <x:c r="S114" s="110" t="str">
        <x:v>ChatGPT prefill · 06 Oct 2026</x:v>
      </x:c>
    </x:row>
    <x:row r="115" ht="36" customHeight="1">
      <x:c r="A115" s="107" t="str">
        <x:v>H16</x:v>
      </x:c>
      <x:c r="B115" s="107" t="str">
        <x:v>Logo master artwork</x:v>
      </x:c>
      <x:c r="C115" s="107" t="str">
        <x:v>Brand decision</x:v>
      </x:c>
      <x:c r="D115" s="108" t="str">
        <x:v>Should the official production masters be rebuilt from approved source geometry only?</x:v>
      </x:c>
      <x:c r="E115" s="108" t="str">
        <x:v>Yes</x:v>
      </x:c>
      <x:c r="F115" s="109" t="str">
        <x:v>Approve recommendation</x:v>
      </x:c>
      <x:c r="G115" s="110"/>
      <x:c r="H115" s="108" t="str">
        <x:f>IF(F115="Approve recommendation",E115,IF(F115="Modify / custom answer",G115,IF(F115="Reject","Rejected",IF(F115="Defer","Deferred",IF(F115="Needs evidence","Pending evidence","")))))</x:f>
        <x:v>Yes</x:v>
      </x:c>
      <x:c r="I115" s="107" t="str">
        <x:f>IF(F115="","Pending",IF(F115="Approve recommendation","Approved",IF(F115="Modify / custom answer",IF(G115="","Action Required","Approved with modification"),IF(F115="Reject","Rejected",IF(F115="Defer","Deferred",IF(F115="Needs evidence","Evidence Required","Pending"))))))</x:f>
        <x:v>Approved</x:v>
      </x:c>
      <x:c r="J115" s="107" t="str">
        <x:v>Critical</x:v>
      </x:c>
      <x:c r="K115" s="110" t="str">
        <x:v>Design Custodian</x:v>
      </x:c>
      <x:c r="L115" s="110"/>
      <x:c r="M115" s="108" t="str">
        <x:v>Yes</x:v>
      </x:c>
      <x:c r="N115" s="108" t="str"/>
      <x:c r="O115" s="108" t="str">
        <x:v>V2 guideline + V2 audit</x:v>
      </x:c>
      <x:c r="P115" s="108" t="str">
        <x:v>SRC-01, SRC-02</x:v>
      </x:c>
      <x:c r="Q115" s="108" t="str"/>
      <x:c r="R115" s="108" t="str">
        <x:v>06 — Logo System</x:v>
      </x:c>
      <x:c r="S115" s="110" t="str">
        <x:v>ChatGPT prefill · 06 Oct 2026</x:v>
      </x:c>
    </x:row>
    <x:row r="116" ht="36" customHeight="1">
      <x:c r="A116" s="107" t="str">
        <x:v>H17</x:v>
      </x:c>
      <x:c r="B116" s="107" t="str">
        <x:v>Logo master artwork</x:v>
      </x:c>
      <x:c r="C116" s="107" t="str">
        <x:v>Decision + evidence</x:v>
      </x:c>
      <x:c r="D116" s="108" t="str">
        <x:v>Required master formats</x:v>
      </x:c>
      <x:c r="E116" s="108" t="str">
        <x:v>SVG · PDF · EPS · PNG</x:v>
      </x:c>
      <x:c r="F116" s="109" t="str">
        <x:v>Approve recommendation</x:v>
      </x:c>
      <x:c r="G116" s="110"/>
      <x:c r="H116" s="108" t="str">
        <x:f>IF(F116="Approve recommendation",E116,IF(F116="Modify / custom answer",G116,IF(F116="Reject","Rejected",IF(F116="Defer","Deferred",IF(F116="Needs evidence","Pending evidence","")))))</x:f>
        <x:v>SVG · PDF · EPS · PNG</x:v>
      </x:c>
      <x:c r="I116" s="107" t="str">
        <x:f>IF(F116="","Pending",IF(F116="Approve recommendation","Approved",IF(F116="Modify / custom answer",IF(G116="","Action Required","Approved with modification"),IF(F116="Reject","Rejected",IF(F116="Defer","Deferred",IF(F116="Needs evidence","Evidence Required","Pending"))))))</x:f>
        <x:v>Approved</x:v>
      </x:c>
      <x:c r="J116" s="107" t="str">
        <x:v>Critical</x:v>
      </x:c>
      <x:c r="K116" s="110" t="str">
        <x:v>Design Custodian</x:v>
      </x:c>
      <x:c r="L116" s="110"/>
      <x:c r="M116" s="108" t="str">
        <x:v>No</x:v>
      </x:c>
      <x:c r="N116" s="108" t="str"/>
      <x:c r="O116" s="108" t="str">
        <x:v>V2 guideline + V2 audit</x:v>
      </x:c>
      <x:c r="P116" s="108" t="str">
        <x:v>SRC-01, SRC-02</x:v>
      </x:c>
      <x:c r="Q116" s="108" t="str"/>
      <x:c r="R116" s="108" t="str">
        <x:v>06 — Logo System</x:v>
      </x:c>
      <x:c r="S116" s="110" t="str">
        <x:v>ChatGPT prefill · 06 Oct 2026</x:v>
      </x:c>
    </x:row>
    <x:row r="117" ht="36" customHeight="1">
      <x:c r="A117" s="107" t="str">
        <x:v>H18</x:v>
      </x:c>
      <x:c r="B117" s="107" t="str">
        <x:v>Logo master artwork</x:v>
      </x:c>
      <x:c r="C117" s="107" t="str">
        <x:v>Brand decision</x:v>
      </x:c>
      <x:c r="D117" s="108" t="str">
        <x:v>Need embroidery-specific master?</x:v>
      </x:c>
      <x:c r="E117" s="108" t="str">
        <x:v>Yes if uniforms/linen are used</x:v>
      </x:c>
      <x:c r="F117" s="109" t="str">
        <x:v>Approve recommendation</x:v>
      </x:c>
      <x:c r="G117" s="110"/>
      <x:c r="H117" s="108" t="str">
        <x:f>IF(F117="Approve recommendation",E117,IF(F117="Modify / custom answer",G117,IF(F117="Reject","Rejected",IF(F117="Defer","Deferred",IF(F117="Needs evidence","Pending evidence","")))))</x:f>
        <x:v>Yes if uniforms/linen are used</x:v>
      </x:c>
      <x:c r="I117" s="107" t="str">
        <x:f>IF(F117="","Pending",IF(F117="Approve recommendation","Approved",IF(F117="Modify / custom answer",IF(G117="","Action Required","Approved with modification"),IF(F117="Reject","Rejected",IF(F117="Defer","Deferred",IF(F117="Needs evidence","Evidence Required","Pending"))))))</x:f>
        <x:v>Approved</x:v>
      </x:c>
      <x:c r="J117" s="107" t="str">
        <x:v>Critical</x:v>
      </x:c>
      <x:c r="K117" s="110" t="str">
        <x:v>Design Custodian</x:v>
      </x:c>
      <x:c r="L117" s="110"/>
      <x:c r="M117" s="108" t="str">
        <x:v>No</x:v>
      </x:c>
      <x:c r="N117" s="108" t="str"/>
      <x:c r="O117" s="108" t="str">
        <x:v>V2 guideline + V2 audit</x:v>
      </x:c>
      <x:c r="P117" s="108" t="str">
        <x:v>SRC-01, SRC-02</x:v>
      </x:c>
      <x:c r="Q117" s="108" t="str"/>
      <x:c r="R117" s="108" t="str">
        <x:v>06 — Logo System</x:v>
      </x:c>
      <x:c r="S117" s="110" t="str">
        <x:v>ChatGPT prefill · 06 Oct 2026</x:v>
      </x:c>
    </x:row>
    <x:row r="118" ht="36" customHeight="1">
      <x:c r="A118" s="107" t="str">
        <x:v>H19</x:v>
      </x:c>
      <x:c r="B118" s="107" t="str">
        <x:v>Logo master artwork</x:v>
      </x:c>
      <x:c r="C118" s="107" t="str">
        <x:v>Brand decision</x:v>
      </x:c>
      <x:c r="D118" s="108" t="str">
        <x:v>Need engraving/deboss master?</x:v>
      </x:c>
      <x:c r="E118" s="108" t="str">
        <x:v>Yes</x:v>
      </x:c>
      <x:c r="F118" s="109" t="str">
        <x:v>Approve recommendation</x:v>
      </x:c>
      <x:c r="G118" s="110"/>
      <x:c r="H118" s="108" t="str">
        <x:f>IF(F118="Approve recommendation",E118,IF(F118="Modify / custom answer",G118,IF(F118="Reject","Rejected",IF(F118="Defer","Deferred",IF(F118="Needs evidence","Pending evidence","")))))</x:f>
        <x:v>Yes</x:v>
      </x:c>
      <x:c r="I118" s="107" t="str">
        <x:f>IF(F118="","Pending",IF(F118="Approve recommendation","Approved",IF(F118="Modify / custom answer",IF(G118="","Action Required","Approved with modification"),IF(F118="Reject","Rejected",IF(F118="Defer","Deferred",IF(F118="Needs evidence","Evidence Required","Pending"))))))</x:f>
        <x:v>Approved</x:v>
      </x:c>
      <x:c r="J118" s="107" t="str">
        <x:v>Critical</x:v>
      </x:c>
      <x:c r="K118" s="110" t="str">
        <x:v>Design Custodian</x:v>
      </x:c>
      <x:c r="L118" s="110"/>
      <x:c r="M118" s="108" t="str">
        <x:v>No</x:v>
      </x:c>
      <x:c r="N118" s="108" t="str"/>
      <x:c r="O118" s="108" t="str">
        <x:v>V2 guideline + V2 audit</x:v>
      </x:c>
      <x:c r="P118" s="108" t="str">
        <x:v>SRC-01, SRC-02</x:v>
      </x:c>
      <x:c r="Q118" s="108" t="str"/>
      <x:c r="R118" s="108" t="str">
        <x:v>06 — Logo System</x:v>
      </x:c>
      <x:c r="S118" s="110" t="str">
        <x:v>ChatGPT prefill · 06 Oct 2026</x:v>
      </x:c>
    </x:row>
    <x:row r="119" ht="36" customHeight="1">
      <x:c r="A119" s="107" t="str">
        <x:v>H20</x:v>
      </x:c>
      <x:c r="B119" s="107" t="str">
        <x:v>Logo master artwork</x:v>
      </x:c>
      <x:c r="C119" s="107" t="str">
        <x:v>Brand decision</x:v>
      </x:c>
      <x:c r="D119" s="108" t="str">
        <x:v>Need favicon/app-icon master set?</x:v>
      </x:c>
      <x:c r="E119" s="108" t="str">
        <x:v>Yes</x:v>
      </x:c>
      <x:c r="F119" s="109" t="str">
        <x:v>Approve recommendation</x:v>
      </x:c>
      <x:c r="G119" s="110"/>
      <x:c r="H119" s="108" t="str">
        <x:f>IF(F119="Approve recommendation",E119,IF(F119="Modify / custom answer",G119,IF(F119="Reject","Rejected",IF(F119="Defer","Deferred",IF(F119="Needs evidence","Pending evidence","")))))</x:f>
        <x:v>Yes</x:v>
      </x:c>
      <x:c r="I119" s="107" t="str">
        <x:f>IF(F119="","Pending",IF(F119="Approve recommendation","Approved",IF(F119="Modify / custom answer",IF(G119="","Action Required","Approved with modification"),IF(F119="Reject","Rejected",IF(F119="Defer","Deferred",IF(F119="Needs evidence","Evidence Required","Pending"))))))</x:f>
        <x:v>Approved</x:v>
      </x:c>
      <x:c r="J119" s="107" t="str">
        <x:v>Critical</x:v>
      </x:c>
      <x:c r="K119" s="110" t="str">
        <x:v>Design Custodian</x:v>
      </x:c>
      <x:c r="L119" s="110"/>
      <x:c r="M119" s="108" t="str">
        <x:v>No</x:v>
      </x:c>
      <x:c r="N119" s="108" t="str"/>
      <x:c r="O119" s="108" t="str">
        <x:v>V2 guideline + V2 audit</x:v>
      </x:c>
      <x:c r="P119" s="108" t="str">
        <x:v>SRC-01, SRC-02</x:v>
      </x:c>
      <x:c r="Q119" s="108" t="str"/>
      <x:c r="R119" s="108" t="str">
        <x:v>06 — Logo System</x:v>
      </x:c>
      <x:c r="S119" s="110" t="str">
        <x:v>ChatGPT prefill · 06 Oct 2026</x:v>
      </x:c>
    </x:row>
    <x:row r="120" ht="36" customHeight="1">
      <x:c r="A120" s="107" t="str">
        <x:v>H21</x:v>
      </x:c>
      <x:c r="B120" s="107" t="str">
        <x:v>Logo master artwork</x:v>
      </x:c>
      <x:c r="C120" s="107" t="str">
        <x:v>Brand decision</x:v>
      </x:c>
      <x:c r="D120" s="108" t="str">
        <x:v>Should a master artwork ID/version be embedded in asset naming?</x:v>
      </x:c>
      <x:c r="E120" s="108" t="str">
        <x:v>Yes</x:v>
      </x:c>
      <x:c r="F120" s="109" t="str">
        <x:v>Approve recommendation</x:v>
      </x:c>
      <x:c r="G120" s="110"/>
      <x:c r="H120" s="108" t="str">
        <x:f>IF(F120="Approve recommendation",E120,IF(F120="Modify / custom answer",G120,IF(F120="Reject","Rejected",IF(F120="Defer","Deferred",IF(F120="Needs evidence","Pending evidence","")))))</x:f>
        <x:v>Yes</x:v>
      </x:c>
      <x:c r="I120" s="107" t="str">
        <x:f>IF(F120="","Pending",IF(F120="Approve recommendation","Approved",IF(F120="Modify / custom answer",IF(G120="","Action Required","Approved with modification"),IF(F120="Reject","Rejected",IF(F120="Defer","Deferred",IF(F120="Needs evidence","Evidence Required","Pending"))))))</x:f>
        <x:v>Approved</x:v>
      </x:c>
      <x:c r="J120" s="107" t="str">
        <x:v>Critical</x:v>
      </x:c>
      <x:c r="K120" s="110" t="str">
        <x:v>Design Custodian</x:v>
      </x:c>
      <x:c r="L120" s="110"/>
      <x:c r="M120" s="108" t="str">
        <x:v>No</x:v>
      </x:c>
      <x:c r="N120" s="108" t="str"/>
      <x:c r="O120" s="108" t="str">
        <x:v>V2 guideline + V2 audit</x:v>
      </x:c>
      <x:c r="P120" s="108" t="str">
        <x:v>SRC-01, SRC-02</x:v>
      </x:c>
      <x:c r="Q120" s="108" t="str"/>
      <x:c r="R120" s="108" t="str">
        <x:v>06 — Logo System</x:v>
      </x:c>
      <x:c r="S120" s="110" t="str">
        <x:v>ChatGPT prefill · 06 Oct 2026</x:v>
      </x:c>
    </x:row>
    <x:row r="121" ht="36" customHeight="1">
      <x:c r="A121" s="107" t="str">
        <x:v>I01</x:v>
      </x:c>
      <x:c r="B121" s="107" t="str">
        <x:v>Logo misuse and co-branding</x:v>
      </x:c>
      <x:c r="C121" s="107" t="str">
        <x:v>Brand decision</x:v>
      </x:c>
      <x:c r="D121" s="108" t="str">
        <x:v>Stretch/compress logo?</x:v>
      </x:c>
      <x:c r="E121" s="108" t="str">
        <x:v>Prohibited</x:v>
      </x:c>
      <x:c r="F121" s="109" t="str">
        <x:v>Approve recommendation</x:v>
      </x:c>
      <x:c r="G121" s="110"/>
      <x:c r="H121" s="108" t="str">
        <x:f>IF(F121="Approve recommendation",E121,IF(F121="Modify / custom answer",G121,IF(F121="Reject","Rejected",IF(F121="Defer","Deferred",IF(F121="Needs evidence","Pending evidence","")))))</x:f>
        <x:v>Prohibited</x:v>
      </x:c>
      <x:c r="I121" s="107" t="str">
        <x:f>IF(F121="","Pending",IF(F121="Approve recommendation","Approved",IF(F121="Modify / custom answer",IF(G121="","Action Required","Approved with modification"),IF(F121="Reject","Rejected",IF(F121="Defer","Deferred",IF(F121="Needs evidence","Evidence Required","Pending"))))))</x:f>
        <x:v>Approved</x:v>
      </x:c>
      <x:c r="J121" s="107" t="str">
        <x:v>High</x:v>
      </x:c>
      <x:c r="K121" s="110" t="str">
        <x:v>Design Custodian + Brand Owner</x:v>
      </x:c>
      <x:c r="L121" s="110"/>
      <x:c r="M121" s="108" t="str">
        <x:v>No</x:v>
      </x:c>
      <x:c r="N121" s="108" t="str"/>
      <x:c r="O121" s="108" t="str">
        <x:v>V2 guideline</x:v>
      </x:c>
      <x:c r="P121" s="108" t="str">
        <x:v>SRC-01</x:v>
      </x:c>
      <x:c r="Q121" s="108" t="str"/>
      <x:c r="R121" s="108" t="str">
        <x:v>06 — Logo System</x:v>
      </x:c>
      <x:c r="S121" s="110" t="str">
        <x:v>ChatGPT prefill · 06 Oct 2026</x:v>
      </x:c>
    </x:row>
    <x:row r="122" ht="36" customHeight="1">
      <x:c r="A122" s="107" t="str">
        <x:v>I02</x:v>
      </x:c>
      <x:c r="B122" s="107" t="str">
        <x:v>Logo misuse and co-branding</x:v>
      </x:c>
      <x:c r="C122" s="107" t="str">
        <x:v>Brand decision</x:v>
      </x:c>
      <x:c r="D122" s="108" t="str">
        <x:v>Rotate logo?</x:v>
      </x:c>
      <x:c r="E122" s="108" t="str">
        <x:v>Prohibited</x:v>
      </x:c>
      <x:c r="F122" s="109" t="str">
        <x:v>Approve recommendation</x:v>
      </x:c>
      <x:c r="G122" s="110"/>
      <x:c r="H122" s="108" t="str">
        <x:f>IF(F122="Approve recommendation",E122,IF(F122="Modify / custom answer",G122,IF(F122="Reject","Rejected",IF(F122="Defer","Deferred",IF(F122="Needs evidence","Pending evidence","")))))</x:f>
        <x:v>Prohibited</x:v>
      </x:c>
      <x:c r="I122" s="107" t="str">
        <x:f>IF(F122="","Pending",IF(F122="Approve recommendation","Approved",IF(F122="Modify / custom answer",IF(G122="","Action Required","Approved with modification"),IF(F122="Reject","Rejected",IF(F122="Defer","Deferred",IF(F122="Needs evidence","Evidence Required","Pending"))))))</x:f>
        <x:v>Approved</x:v>
      </x:c>
      <x:c r="J122" s="107" t="str">
        <x:v>High</x:v>
      </x:c>
      <x:c r="K122" s="110" t="str">
        <x:v>Design Custodian + Brand Owner</x:v>
      </x:c>
      <x:c r="L122" s="110"/>
      <x:c r="M122" s="108" t="str">
        <x:v>No</x:v>
      </x:c>
      <x:c r="N122" s="108" t="str"/>
      <x:c r="O122" s="108" t="str">
        <x:v>V2 guideline</x:v>
      </x:c>
      <x:c r="P122" s="108" t="str">
        <x:v>SRC-01</x:v>
      </x:c>
      <x:c r="Q122" s="108" t="str"/>
      <x:c r="R122" s="108" t="str">
        <x:v>06 — Logo System</x:v>
      </x:c>
      <x:c r="S122" s="110" t="str">
        <x:v>ChatGPT prefill · 06 Oct 2026</x:v>
      </x:c>
    </x:row>
    <x:row r="123" ht="36" customHeight="1">
      <x:c r="A123" s="107" t="str">
        <x:v>I03</x:v>
      </x:c>
      <x:c r="B123" s="107" t="str">
        <x:v>Logo misuse and co-branding</x:v>
      </x:c>
      <x:c r="C123" s="107" t="str">
        <x:v>Brand decision</x:v>
      </x:c>
      <x:c r="D123" s="108" t="str">
        <x:v>Recolor outside palette?</x:v>
      </x:c>
      <x:c r="E123" s="108" t="str">
        <x:v>Prohibited</x:v>
      </x:c>
      <x:c r="F123" s="109" t="str">
        <x:v>Approve recommendation</x:v>
      </x:c>
      <x:c r="G123" s="110"/>
      <x:c r="H123" s="108" t="str">
        <x:f>IF(F123="Approve recommendation",E123,IF(F123="Modify / custom answer",G123,IF(F123="Reject","Rejected",IF(F123="Defer","Deferred",IF(F123="Needs evidence","Pending evidence","")))))</x:f>
        <x:v>Prohibited</x:v>
      </x:c>
      <x:c r="I123" s="107" t="str">
        <x:f>IF(F123="","Pending",IF(F123="Approve recommendation","Approved",IF(F123="Modify / custom answer",IF(G123="","Action Required","Approved with modification"),IF(F123="Reject","Rejected",IF(F123="Defer","Deferred",IF(F123="Needs evidence","Evidence Required","Pending"))))))</x:f>
        <x:v>Approved</x:v>
      </x:c>
      <x:c r="J123" s="107" t="str">
        <x:v>High</x:v>
      </x:c>
      <x:c r="K123" s="110" t="str">
        <x:v>Design Custodian + Brand Owner</x:v>
      </x:c>
      <x:c r="L123" s="110"/>
      <x:c r="M123" s="108" t="str">
        <x:v>No</x:v>
      </x:c>
      <x:c r="N123" s="108" t="str"/>
      <x:c r="O123" s="108" t="str">
        <x:v>V2 guideline</x:v>
      </x:c>
      <x:c r="P123" s="108" t="str">
        <x:v>SRC-01</x:v>
      </x:c>
      <x:c r="Q123" s="108" t="str"/>
      <x:c r="R123" s="108" t="str">
        <x:v>06 — Logo System</x:v>
      </x:c>
      <x:c r="S123" s="110" t="str">
        <x:v>ChatGPT prefill · 06 Oct 2026</x:v>
      </x:c>
    </x:row>
    <x:row r="124" ht="36" customHeight="1">
      <x:c r="A124" s="107" t="str">
        <x:v>I04</x:v>
      </x:c>
      <x:c r="B124" s="107" t="str">
        <x:v>Logo misuse and co-branding</x:v>
      </x:c>
      <x:c r="C124" s="107" t="str">
        <x:v>Brand decision</x:v>
      </x:c>
      <x:c r="D124" s="108" t="str">
        <x:v>Add shadow/gradient/bevel?</x:v>
      </x:c>
      <x:c r="E124" s="108" t="str">
        <x:v>Prohibited</x:v>
      </x:c>
      <x:c r="F124" s="109" t="str">
        <x:v>Approve recommendation</x:v>
      </x:c>
      <x:c r="G124" s="110"/>
      <x:c r="H124" s="108" t="str">
        <x:f>IF(F124="Approve recommendation",E124,IF(F124="Modify / custom answer",G124,IF(F124="Reject","Rejected",IF(F124="Defer","Deferred",IF(F124="Needs evidence","Pending evidence","")))))</x:f>
        <x:v>Prohibited</x:v>
      </x:c>
      <x:c r="I124" s="107" t="str">
        <x:f>IF(F124="","Pending",IF(F124="Approve recommendation","Approved",IF(F124="Modify / custom answer",IF(G124="","Action Required","Approved with modification"),IF(F124="Reject","Rejected",IF(F124="Defer","Deferred",IF(F124="Needs evidence","Evidence Required","Pending"))))))</x:f>
        <x:v>Approved</x:v>
      </x:c>
      <x:c r="J124" s="107" t="str">
        <x:v>High</x:v>
      </x:c>
      <x:c r="K124" s="110" t="str">
        <x:v>Design Custodian + Brand Owner</x:v>
      </x:c>
      <x:c r="L124" s="110"/>
      <x:c r="M124" s="108" t="str">
        <x:v>No</x:v>
      </x:c>
      <x:c r="N124" s="108" t="str"/>
      <x:c r="O124" s="108" t="str">
        <x:v>V2 guideline</x:v>
      </x:c>
      <x:c r="P124" s="108" t="str">
        <x:v>SRC-01</x:v>
      </x:c>
      <x:c r="Q124" s="108" t="str"/>
      <x:c r="R124" s="108" t="str">
        <x:v>06 — Logo System</x:v>
      </x:c>
      <x:c r="S124" s="110" t="str">
        <x:v>ChatGPT prefill · 06 Oct 2026</x:v>
      </x:c>
    </x:row>
    <x:row r="125" ht="36" customHeight="1">
      <x:c r="A125" s="107" t="str">
        <x:v>I05</x:v>
      </x:c>
      <x:c r="B125" s="107" t="str">
        <x:v>Logo misuse and co-branding</x:v>
      </x:c>
      <x:c r="C125" s="107" t="str">
        <x:v>Brand decision</x:v>
      </x:c>
      <x:c r="D125" s="108" t="str">
        <x:v>Outline/container effects?</x:v>
      </x:c>
      <x:c r="E125" s="108" t="str">
        <x:v>Prohibited</x:v>
      </x:c>
      <x:c r="F125" s="109" t="str">
        <x:v>Approve recommendation</x:v>
      </x:c>
      <x:c r="G125" s="110"/>
      <x:c r="H125" s="108" t="str">
        <x:f>IF(F125="Approve recommendation",E125,IF(F125="Modify / custom answer",G125,IF(F125="Reject","Rejected",IF(F125="Defer","Deferred",IF(F125="Needs evidence","Pending evidence","")))))</x:f>
        <x:v>Prohibited</x:v>
      </x:c>
      <x:c r="I125" s="107" t="str">
        <x:f>IF(F125="","Pending",IF(F125="Approve recommendation","Approved",IF(F125="Modify / custom answer",IF(G125="","Action Required","Approved with modification"),IF(F125="Reject","Rejected",IF(F125="Defer","Deferred",IF(F125="Needs evidence","Evidence Required","Pending"))))))</x:f>
        <x:v>Approved</x:v>
      </x:c>
      <x:c r="J125" s="107" t="str">
        <x:v>High</x:v>
      </x:c>
      <x:c r="K125" s="110" t="str">
        <x:v>Design Custodian + Brand Owner</x:v>
      </x:c>
      <x:c r="L125" s="110"/>
      <x:c r="M125" s="108" t="str">
        <x:v>No</x:v>
      </x:c>
      <x:c r="N125" s="108" t="str"/>
      <x:c r="O125" s="108" t="str">
        <x:v>V2 guideline</x:v>
      </x:c>
      <x:c r="P125" s="108" t="str">
        <x:v>SRC-01</x:v>
      </x:c>
      <x:c r="Q125" s="108" t="str"/>
      <x:c r="R125" s="108" t="str">
        <x:v>06 — Logo System</x:v>
      </x:c>
      <x:c r="S125" s="110" t="str">
        <x:v>ChatGPT prefill · 06 Oct 2026</x:v>
      </x:c>
    </x:row>
    <x:row r="126" ht="36" customHeight="1">
      <x:c r="A126" s="107" t="str">
        <x:v>I06</x:v>
      </x:c>
      <x:c r="B126" s="107" t="str">
        <x:v>Logo misuse and co-branding</x:v>
      </x:c>
      <x:c r="C126" s="107" t="str">
        <x:v>Brand decision</x:v>
      </x:c>
      <x:c r="D126" s="108" t="str">
        <x:v>Busy imagery without protected field?</x:v>
      </x:c>
      <x:c r="E126" s="108" t="str">
        <x:v>Prohibited</x:v>
      </x:c>
      <x:c r="F126" s="109" t="str">
        <x:v>Approve recommendation</x:v>
      </x:c>
      <x:c r="G126" s="110"/>
      <x:c r="H126" s="108" t="str">
        <x:f>IF(F126="Approve recommendation",E126,IF(F126="Modify / custom answer",G126,IF(F126="Reject","Rejected",IF(F126="Defer","Deferred",IF(F126="Needs evidence","Pending evidence","")))))</x:f>
        <x:v>Prohibited</x:v>
      </x:c>
      <x:c r="I126" s="107" t="str">
        <x:f>IF(F126="","Pending",IF(F126="Approve recommendation","Approved",IF(F126="Modify / custom answer",IF(G126="","Action Required","Approved with modification"),IF(F126="Reject","Rejected",IF(F126="Defer","Deferred",IF(F126="Needs evidence","Evidence Required","Pending"))))))</x:f>
        <x:v>Approved</x:v>
      </x:c>
      <x:c r="J126" s="107" t="str">
        <x:v>High</x:v>
      </x:c>
      <x:c r="K126" s="110" t="str">
        <x:v>Design Custodian + Brand Owner</x:v>
      </x:c>
      <x:c r="L126" s="110"/>
      <x:c r="M126" s="108" t="str">
        <x:v>No</x:v>
      </x:c>
      <x:c r="N126" s="108" t="str"/>
      <x:c r="O126" s="108" t="str">
        <x:v>V2 guideline</x:v>
      </x:c>
      <x:c r="P126" s="108" t="str">
        <x:v>SRC-01</x:v>
      </x:c>
      <x:c r="Q126" s="108" t="str"/>
      <x:c r="R126" s="108" t="str">
        <x:v>06 — Logo System</x:v>
      </x:c>
      <x:c r="S126" s="110" t="str">
        <x:v>ChatGPT prefill · 06 Oct 2026</x:v>
      </x:c>
    </x:row>
    <x:row r="127" ht="36" customHeight="1">
      <x:c r="A127" s="107" t="str">
        <x:v>I07</x:v>
      </x:c>
      <x:c r="B127" s="107" t="str">
        <x:v>Logo misuse and co-branding</x:v>
      </x:c>
      <x:c r="C127" s="107" t="str">
        <x:v>Brand decision</x:v>
      </x:c>
      <x:c r="D127" s="108" t="str">
        <x:v>Move/multiply spark within official mark?</x:v>
      </x:c>
      <x:c r="E127" s="108" t="str">
        <x:v>Prohibited</x:v>
      </x:c>
      <x:c r="F127" s="109" t="str">
        <x:v>Approve recommendation</x:v>
      </x:c>
      <x:c r="G127" s="110"/>
      <x:c r="H127" s="108" t="str">
        <x:f>IF(F127="Approve recommendation",E127,IF(F127="Modify / custom answer",G127,IF(F127="Reject","Rejected",IF(F127="Defer","Deferred",IF(F127="Needs evidence","Pending evidence","")))))</x:f>
        <x:v>Prohibited</x:v>
      </x:c>
      <x:c r="I127" s="107" t="str">
        <x:f>IF(F127="","Pending",IF(F127="Approve recommendation","Approved",IF(F127="Modify / custom answer",IF(G127="","Action Required","Approved with modification"),IF(F127="Reject","Rejected",IF(F127="Defer","Deferred",IF(F127="Needs evidence","Evidence Required","Pending"))))))</x:f>
        <x:v>Approved</x:v>
      </x:c>
      <x:c r="J127" s="107" t="str">
        <x:v>High</x:v>
      </x:c>
      <x:c r="K127" s="110" t="str">
        <x:v>Design Custodian + Brand Owner</x:v>
      </x:c>
      <x:c r="L127" s="110"/>
      <x:c r="M127" s="108" t="str">
        <x:v>No</x:v>
      </x:c>
      <x:c r="N127" s="108" t="str"/>
      <x:c r="O127" s="108" t="str">
        <x:v>V2 guideline</x:v>
      </x:c>
      <x:c r="P127" s="108" t="str">
        <x:v>SRC-01</x:v>
      </x:c>
      <x:c r="Q127" s="108" t="str"/>
      <x:c r="R127" s="108" t="str">
        <x:v>06 — Logo System</x:v>
      </x:c>
      <x:c r="S127" s="110" t="str">
        <x:v>ChatGPT prefill · 06 Oct 2026</x:v>
      </x:c>
    </x:row>
    <x:row r="128" ht="36" customHeight="1">
      <x:c r="A128" s="107" t="str">
        <x:v>I08</x:v>
      </x:c>
      <x:c r="B128" s="107" t="str">
        <x:v>Logo misuse and co-branding</x:v>
      </x:c>
      <x:c r="C128" s="107" t="str">
        <x:v>Brand decision</x:v>
      </x:c>
      <x:c r="D128" s="108" t="str">
        <x:v>Create campaign-specific logo variants?</x:v>
      </x:c>
      <x:c r="E128" s="108" t="str">
        <x:v>No</x:v>
      </x:c>
      <x:c r="F128" s="109" t="str">
        <x:v>Approve recommendation</x:v>
      </x:c>
      <x:c r="G128" s="110"/>
      <x:c r="H128" s="108" t="str">
        <x:f>IF(F128="Approve recommendation",E128,IF(F128="Modify / custom answer",G128,IF(F128="Reject","Rejected",IF(F128="Defer","Deferred",IF(F128="Needs evidence","Pending evidence","")))))</x:f>
        <x:v>No</x:v>
      </x:c>
      <x:c r="I128" s="107" t="str">
        <x:f>IF(F128="","Pending",IF(F128="Approve recommendation","Approved",IF(F128="Modify / custom answer",IF(G128="","Action Required","Approved with modification"),IF(F128="Reject","Rejected",IF(F128="Defer","Deferred",IF(F128="Needs evidence","Evidence Required","Pending"))))))</x:f>
        <x:v>Approved</x:v>
      </x:c>
      <x:c r="J128" s="107" t="str">
        <x:v>High</x:v>
      </x:c>
      <x:c r="K128" s="110" t="str">
        <x:v>Design Custodian + Brand Owner</x:v>
      </x:c>
      <x:c r="L128" s="110"/>
      <x:c r="M128" s="108" t="str">
        <x:v>No</x:v>
      </x:c>
      <x:c r="N128" s="108" t="str"/>
      <x:c r="O128" s="108" t="str">
        <x:v>V2 guideline</x:v>
      </x:c>
      <x:c r="P128" s="108" t="str">
        <x:v>SRC-01</x:v>
      </x:c>
      <x:c r="Q128" s="108" t="str"/>
      <x:c r="R128" s="108" t="str">
        <x:v>06 — Logo System</x:v>
      </x:c>
      <x:c r="S128" s="110" t="str">
        <x:v>ChatGPT prefill · 06 Oct 2026</x:v>
      </x:c>
    </x:row>
    <x:row r="129" ht="36" customHeight="1">
      <x:c r="A129" s="107" t="str">
        <x:v>I09</x:v>
      </x:c>
      <x:c r="B129" s="107" t="str">
        <x:v>Logo misuse and co-branding</x:v>
      </x:c>
      <x:c r="C129" s="107" t="str">
        <x:v>Brand decision</x:v>
      </x:c>
      <x:c r="D129" s="108" t="str">
        <x:v>Create event-specific GEM logos?</x:v>
      </x:c>
      <x:c r="E129" s="108" t="str">
        <x:v>No by default</x:v>
      </x:c>
      <x:c r="F129" s="109" t="str">
        <x:v>Approve recommendation</x:v>
      </x:c>
      <x:c r="G129" s="110"/>
      <x:c r="H129" s="108" t="str">
        <x:f>IF(F129="Approve recommendation",E129,IF(F129="Modify / custom answer",G129,IF(F129="Reject","Rejected",IF(F129="Defer","Deferred",IF(F129="Needs evidence","Pending evidence","")))))</x:f>
        <x:v>No by default</x:v>
      </x:c>
      <x:c r="I129" s="107" t="str">
        <x:f>IF(F129="","Pending",IF(F129="Approve recommendation","Approved",IF(F129="Modify / custom answer",IF(G129="","Action Required","Approved with modification"),IF(F129="Reject","Rejected",IF(F129="Defer","Deferred",IF(F129="Needs evidence","Evidence Required","Pending"))))))</x:f>
        <x:v>Approved</x:v>
      </x:c>
      <x:c r="J129" s="107" t="str">
        <x:v>High</x:v>
      </x:c>
      <x:c r="K129" s="110" t="str">
        <x:v>Design Custodian + Brand Owner</x:v>
      </x:c>
      <x:c r="L129" s="110"/>
      <x:c r="M129" s="108" t="str">
        <x:v>No</x:v>
      </x:c>
      <x:c r="N129" s="108" t="str"/>
      <x:c r="O129" s="108" t="str">
        <x:v>V2 guideline</x:v>
      </x:c>
      <x:c r="P129" s="108" t="str">
        <x:v>SRC-01</x:v>
      </x:c>
      <x:c r="Q129" s="108" t="str"/>
      <x:c r="R129" s="108" t="str">
        <x:v>06 — Logo System</x:v>
      </x:c>
      <x:c r="S129" s="110" t="str">
        <x:v>ChatGPT prefill · 06 Oct 2026</x:v>
      </x:c>
    </x:row>
    <x:row r="130" ht="36" customHeight="1">
      <x:c r="A130" s="107" t="str">
        <x:v>I10</x:v>
      </x:c>
      <x:c r="B130" s="107" t="str">
        <x:v>Logo misuse and co-branding</x:v>
      </x:c>
      <x:c r="C130" s="107" t="str">
        <x:v>Brand decision</x:v>
      </x:c>
      <x:c r="D130" s="108" t="str">
        <x:v>Should V3.0 define partner/co-branding lockups?</x:v>
      </x:c>
      <x:c r="E130" s="108" t="str">
        <x:v>Yes</x:v>
      </x:c>
      <x:c r="F130" s="109" t="str">
        <x:v>Approve recommendation</x:v>
      </x:c>
      <x:c r="G130" s="110"/>
      <x:c r="H130" s="108" t="str">
        <x:f>IF(F130="Approve recommendation",E130,IF(F130="Modify / custom answer",G130,IF(F130="Reject","Rejected",IF(F130="Defer","Deferred",IF(F130="Needs evidence","Pending evidence","")))))</x:f>
        <x:v>Yes</x:v>
      </x:c>
      <x:c r="I130" s="107" t="str">
        <x:f>IF(F130="","Pending",IF(F130="Approve recommendation","Approved",IF(F130="Modify / custom answer",IF(G130="","Action Required","Approved with modification"),IF(F130="Reject","Rejected",IF(F130="Defer","Deferred",IF(F130="Needs evidence","Evidence Required","Pending"))))))</x:f>
        <x:v>Approved</x:v>
      </x:c>
      <x:c r="J130" s="107" t="str">
        <x:v>High</x:v>
      </x:c>
      <x:c r="K130" s="110" t="str">
        <x:v>Design Custodian + Brand Owner</x:v>
      </x:c>
      <x:c r="L130" s="110"/>
      <x:c r="M130" s="108" t="str">
        <x:v>No</x:v>
      </x:c>
      <x:c r="N130" s="108" t="str"/>
      <x:c r="O130" s="108" t="str">
        <x:v>V2 guideline</x:v>
      </x:c>
      <x:c r="P130" s="108" t="str">
        <x:v>SRC-01</x:v>
      </x:c>
      <x:c r="Q130" s="108" t="str"/>
      <x:c r="R130" s="108" t="str">
        <x:v>06 — Logo System</x:v>
      </x:c>
      <x:c r="S130" s="110" t="str">
        <x:v>ChatGPT prefill · 06 Oct 2026</x:v>
      </x:c>
    </x:row>
    <x:row r="131" ht="36" customHeight="1">
      <x:c r="A131" s="107" t="str">
        <x:v>I11</x:v>
      </x:c>
      <x:c r="B131" s="107" t="str">
        <x:v>Logo misuse and co-branding</x:v>
      </x:c>
      <x:c r="C131" s="107" t="str">
        <x:v>Brand decision</x:v>
      </x:c>
      <x:c r="D131" s="108" t="str">
        <x:v>Partner logo hierarchy</x:v>
      </x:c>
      <x:c r="E131" s="108" t="str">
        <x:v>GEM remains visually independent; spacing defined mathematically</x:v>
      </x:c>
      <x:c r="F131" s="109" t="str">
        <x:v>Approve recommendation</x:v>
      </x:c>
      <x:c r="G131" s="110"/>
      <x:c r="H131" s="108" t="str">
        <x:f>IF(F131="Approve recommendation",E131,IF(F131="Modify / custom answer",G131,IF(F131="Reject","Rejected",IF(F131="Defer","Deferred",IF(F131="Needs evidence","Pending evidence","")))))</x:f>
        <x:v>GEM remains visually independent; spacing defined mathematically</x:v>
      </x:c>
      <x:c r="I131" s="107" t="str">
        <x:f>IF(F131="","Pending",IF(F131="Approve recommendation","Approved",IF(F131="Modify / custom answer",IF(G131="","Action Required","Approved with modification"),IF(F131="Reject","Rejected",IF(F131="Defer","Deferred",IF(F131="Needs evidence","Evidence Required","Pending"))))))</x:f>
        <x:v>Approved</x:v>
      </x:c>
      <x:c r="J131" s="107" t="str">
        <x:v>High</x:v>
      </x:c>
      <x:c r="K131" s="110" t="str">
        <x:v>Design Custodian + Brand Owner</x:v>
      </x:c>
      <x:c r="L131" s="110"/>
      <x:c r="M131" s="108" t="str">
        <x:v>No</x:v>
      </x:c>
      <x:c r="N131" s="108" t="str"/>
      <x:c r="O131" s="108" t="str">
        <x:v>V2 guideline</x:v>
      </x:c>
      <x:c r="P131" s="108" t="str">
        <x:v>SRC-01</x:v>
      </x:c>
      <x:c r="Q131" s="108" t="str"/>
      <x:c r="R131" s="108" t="str">
        <x:v>06 — Logo System</x:v>
      </x:c>
      <x:c r="S131" s="110" t="str">
        <x:v>ChatGPT prefill · 06 Oct 2026</x:v>
      </x:c>
    </x:row>
    <x:row r="132" ht="36" customHeight="1">
      <x:c r="A132" s="107" t="str">
        <x:v>I12</x:v>
      </x:c>
      <x:c r="B132" s="107" t="str">
        <x:v>Logo misuse and co-branding</x:v>
      </x:c>
      <x:c r="C132" s="107" t="str">
        <x:v>Decision + evidence</x:v>
      </x:c>
      <x:c r="D132" s="108" t="str">
        <x:v>May supplier/manufacturer logos appear on guest-facing GEM products?</x:v>
      </x:c>
      <x:c r="E132" s="108" t="str">
        <x:v>Only where required/approved</x:v>
      </x:c>
      <x:c r="F132" s="109" t="str">
        <x:v>Approve recommendation</x:v>
      </x:c>
      <x:c r="G132" s="110"/>
      <x:c r="H132" s="108" t="str">
        <x:f>IF(F132="Approve recommendation",E132,IF(F132="Modify / custom answer",G132,IF(F132="Reject","Rejected",IF(F132="Defer","Deferred",IF(F132="Needs evidence","Pending evidence","")))))</x:f>
        <x:v>Only where required/approved</x:v>
      </x:c>
      <x:c r="I132" s="107" t="str">
        <x:f>IF(F132="","Pending",IF(F132="Approve recommendation","Approved",IF(F132="Modify / custom answer",IF(G132="","Action Required","Approved with modification"),IF(F132="Reject","Rejected",IF(F132="Defer","Deferred",IF(F132="Needs evidence","Evidence Required","Pending"))))))</x:f>
        <x:v>Approved</x:v>
      </x:c>
      <x:c r="J132" s="107" t="str">
        <x:v>High</x:v>
      </x:c>
      <x:c r="K132" s="110" t="str">
        <x:v>Design Custodian + Brand Owner</x:v>
      </x:c>
      <x:c r="L132" s="110"/>
      <x:c r="M132" s="108" t="str">
        <x:v>Yes</x:v>
      </x:c>
      <x:c r="N132" s="108" t="str"/>
      <x:c r="O132" s="108" t="str">
        <x:v>V2 guideline</x:v>
      </x:c>
      <x:c r="P132" s="108" t="str">
        <x:v>SRC-01</x:v>
      </x:c>
      <x:c r="Q132" s="108" t="str"/>
      <x:c r="R132" s="108" t="str">
        <x:v>06 — Logo System</x:v>
      </x:c>
      <x:c r="S132" s="110" t="str">
        <x:v>ChatGPT prefill · 06 Oct 2026</x:v>
      </x:c>
    </x:row>
    <x:row r="133" ht="36" customHeight="1">
      <x:c r="A133" s="107" t="str">
        <x:v>J01</x:v>
      </x:c>
      <x:c r="B133" s="107" t="str">
        <x:v>Color</x:v>
      </x:c>
      <x:c r="C133" s="107" t="str">
        <x:v>Brand decision</x:v>
      </x:c>
      <x:c r="D133" s="108" t="str">
        <x:v>INK #12171D</x:v>
      </x:c>
      <x:c r="E133" s="108" t="str">
        <x:v>Approve</x:v>
      </x:c>
      <x:c r="F133" s="109" t="str">
        <x:v>Approve recommendation</x:v>
      </x:c>
      <x:c r="G133" s="110"/>
      <x:c r="H133" s="108" t="str">
        <x:f>IF(F133="Approve recommendation",E133,IF(F133="Modify / custom answer",G133,IF(F133="Reject","Rejected",IF(F133="Defer","Deferred",IF(F133="Needs evidence","Pending evidence","")))))</x:f>
        <x:v>Approve</x:v>
      </x:c>
      <x:c r="I133" s="107" t="str">
        <x:f>IF(F133="","Pending",IF(F133="Approve recommendation","Approved",IF(F133="Modify / custom answer",IF(G133="","Action Required","Approved with modification"),IF(F133="Reject","Rejected",IF(F133="Defer","Deferred",IF(F133="Needs evidence","Evidence Required","Pending"))))))</x:f>
        <x:v>Approved</x:v>
      </x:c>
      <x:c r="J133" s="107" t="str">
        <x:v>Critical</x:v>
      </x:c>
      <x:c r="K133" s="110" t="str">
        <x:v>Design Custodian + Procurement / Supplier QA</x:v>
      </x:c>
      <x:c r="L133" s="110"/>
      <x:c r="M133" s="108" t="str">
        <x:v>No</x:v>
      </x:c>
      <x:c r="N133" s="108" t="str"/>
      <x:c r="O133" s="108" t="str">
        <x:v>V2 guideline</x:v>
      </x:c>
      <x:c r="P133" s="108" t="str">
        <x:v>SRC-01</x:v>
      </x:c>
      <x:c r="Q133" s="108" t="str"/>
      <x:c r="R133" s="108" t="str">
        <x:v>07 — Color</x:v>
      </x:c>
      <x:c r="S133" s="110" t="str">
        <x:v>ChatGPT prefill · 06 Oct 2026</x:v>
      </x:c>
    </x:row>
    <x:row r="134" ht="36" customHeight="1">
      <x:c r="A134" s="107" t="str">
        <x:v>J02</x:v>
      </x:c>
      <x:c r="B134" s="107" t="str">
        <x:v>Color</x:v>
      </x:c>
      <x:c r="C134" s="107" t="str">
        <x:v>Brand decision</x:v>
      </x:c>
      <x:c r="D134" s="108" t="str">
        <x:v>BEIGE #BCACA7</x:v>
      </x:c>
      <x:c r="E134" s="108" t="str">
        <x:v>Approve</x:v>
      </x:c>
      <x:c r="F134" s="109" t="str">
        <x:v>Approve recommendation</x:v>
      </x:c>
      <x:c r="G134" s="110"/>
      <x:c r="H134" s="108" t="str">
        <x:f>IF(F134="Approve recommendation",E134,IF(F134="Modify / custom answer",G134,IF(F134="Reject","Rejected",IF(F134="Defer","Deferred",IF(F134="Needs evidence","Pending evidence","")))))</x:f>
        <x:v>Approve</x:v>
      </x:c>
      <x:c r="I134" s="107" t="str">
        <x:f>IF(F134="","Pending",IF(F134="Approve recommendation","Approved",IF(F134="Modify / custom answer",IF(G134="","Action Required","Approved with modification"),IF(F134="Reject","Rejected",IF(F134="Defer","Deferred",IF(F134="Needs evidence","Evidence Required","Pending"))))))</x:f>
        <x:v>Approved</x:v>
      </x:c>
      <x:c r="J134" s="107" t="str">
        <x:v>Critical</x:v>
      </x:c>
      <x:c r="K134" s="110" t="str">
        <x:v>Design Custodian + Procurement / Supplier QA</x:v>
      </x:c>
      <x:c r="L134" s="110"/>
      <x:c r="M134" s="108" t="str">
        <x:v>No</x:v>
      </x:c>
      <x:c r="N134" s="108" t="str"/>
      <x:c r="O134" s="108" t="str">
        <x:v>V2 guideline</x:v>
      </x:c>
      <x:c r="P134" s="108" t="str">
        <x:v>SRC-01</x:v>
      </x:c>
      <x:c r="Q134" s="108" t="str"/>
      <x:c r="R134" s="108" t="str">
        <x:v>07 — Color</x:v>
      </x:c>
      <x:c r="S134" s="110" t="str">
        <x:v>ChatGPT prefill · 06 Oct 2026</x:v>
      </x:c>
    </x:row>
    <x:row r="135" ht="36" customHeight="1">
      <x:c r="A135" s="107" t="str">
        <x:v>J03</x:v>
      </x:c>
      <x:c r="B135" s="107" t="str">
        <x:v>Color</x:v>
      </x:c>
      <x:c r="C135" s="107" t="str">
        <x:v>Brand decision</x:v>
      </x:c>
      <x:c r="D135" s="108" t="str">
        <x:v>BLACK #020202</x:v>
      </x:c>
      <x:c r="E135" s="108" t="str">
        <x:v>Approve</x:v>
      </x:c>
      <x:c r="F135" s="109" t="str">
        <x:v>Approve recommendation</x:v>
      </x:c>
      <x:c r="G135" s="110"/>
      <x:c r="H135" s="108" t="str">
        <x:f>IF(F135="Approve recommendation",E135,IF(F135="Modify / custom answer",G135,IF(F135="Reject","Rejected",IF(F135="Defer","Deferred",IF(F135="Needs evidence","Pending evidence","")))))</x:f>
        <x:v>Approve</x:v>
      </x:c>
      <x:c r="I135" s="107" t="str">
        <x:f>IF(F135="","Pending",IF(F135="Approve recommendation","Approved",IF(F135="Modify / custom answer",IF(G135="","Action Required","Approved with modification"),IF(F135="Reject","Rejected",IF(F135="Defer","Deferred",IF(F135="Needs evidence","Evidence Required","Pending"))))))</x:f>
        <x:v>Approved</x:v>
      </x:c>
      <x:c r="J135" s="107" t="str">
        <x:v>Critical</x:v>
      </x:c>
      <x:c r="K135" s="110" t="str">
        <x:v>Design Custodian + Procurement / Supplier QA</x:v>
      </x:c>
      <x:c r="L135" s="110"/>
      <x:c r="M135" s="108" t="str">
        <x:v>No</x:v>
      </x:c>
      <x:c r="N135" s="108" t="str"/>
      <x:c r="O135" s="108" t="str">
        <x:v>V2 guideline</x:v>
      </x:c>
      <x:c r="P135" s="108" t="str">
        <x:v>SRC-01</x:v>
      </x:c>
      <x:c r="Q135" s="108" t="str"/>
      <x:c r="R135" s="108" t="str">
        <x:v>07 — Color</x:v>
      </x:c>
      <x:c r="S135" s="110" t="str">
        <x:v>ChatGPT prefill · 06 Oct 2026</x:v>
      </x:c>
    </x:row>
    <x:row r="136" ht="36" customHeight="1">
      <x:c r="A136" s="107" t="str">
        <x:v>J04</x:v>
      </x:c>
      <x:c r="B136" s="107" t="str">
        <x:v>Color</x:v>
      </x:c>
      <x:c r="C136" s="107" t="str">
        <x:v>Brand decision</x:v>
      </x:c>
      <x:c r="D136" s="108" t="str">
        <x:v>WHITE #FFFFFF</x:v>
      </x:c>
      <x:c r="E136" s="108" t="str">
        <x:v>Approve</x:v>
      </x:c>
      <x:c r="F136" s="109" t="str">
        <x:v>Approve recommendation</x:v>
      </x:c>
      <x:c r="G136" s="110"/>
      <x:c r="H136" s="108" t="str">
        <x:f>IF(F136="Approve recommendation",E136,IF(F136="Modify / custom answer",G136,IF(F136="Reject","Rejected",IF(F136="Defer","Deferred",IF(F136="Needs evidence","Pending evidence","")))))</x:f>
        <x:v>Approve</x:v>
      </x:c>
      <x:c r="I136" s="107" t="str">
        <x:f>IF(F136="","Pending",IF(F136="Approve recommendation","Approved",IF(F136="Modify / custom answer",IF(G136="","Action Required","Approved with modification"),IF(F136="Reject","Rejected",IF(F136="Defer","Deferred",IF(F136="Needs evidence","Evidence Required","Pending"))))))</x:f>
        <x:v>Approved</x:v>
      </x:c>
      <x:c r="J136" s="107" t="str">
        <x:v>Critical</x:v>
      </x:c>
      <x:c r="K136" s="110" t="str">
        <x:v>Design Custodian + Procurement / Supplier QA</x:v>
      </x:c>
      <x:c r="L136" s="110"/>
      <x:c r="M136" s="108" t="str">
        <x:v>No</x:v>
      </x:c>
      <x:c r="N136" s="108" t="str"/>
      <x:c r="O136" s="108" t="str">
        <x:v>V2 guideline</x:v>
      </x:c>
      <x:c r="P136" s="108" t="str">
        <x:v>SRC-01</x:v>
      </x:c>
      <x:c r="Q136" s="108" t="str"/>
      <x:c r="R136" s="108" t="str">
        <x:v>07 — Color</x:v>
      </x:c>
      <x:c r="S136" s="110" t="str">
        <x:v>ChatGPT prefill · 06 Oct 2026</x:v>
      </x:c>
    </x:row>
    <x:row r="137" ht="36" customHeight="1">
      <x:c r="A137" s="107" t="str">
        <x:v>J05</x:v>
      </x:c>
      <x:c r="B137" s="107" t="str">
        <x:v>Color</x:v>
      </x:c>
      <x:c r="C137" s="107" t="str">
        <x:v>Brand decision</x:v>
      </x:c>
      <x:c r="D137" s="108" t="str">
        <x:v>Retire V1 #13171D?</x:v>
      </x:c>
      <x:c r="E137" s="108" t="str">
        <x:v>Yes</x:v>
      </x:c>
      <x:c r="F137" s="109" t="str">
        <x:v>Approve recommendation</x:v>
      </x:c>
      <x:c r="G137" s="110"/>
      <x:c r="H137" s="108" t="str">
        <x:f>IF(F137="Approve recommendation",E137,IF(F137="Modify / custom answer",G137,IF(F137="Reject","Rejected",IF(F137="Defer","Deferred",IF(F137="Needs evidence","Pending evidence","")))))</x:f>
        <x:v>Yes</x:v>
      </x:c>
      <x:c r="I137" s="107" t="str">
        <x:f>IF(F137="","Pending",IF(F137="Approve recommendation","Approved",IF(F137="Modify / custom answer",IF(G137="","Action Required","Approved with modification"),IF(F137="Reject","Rejected",IF(F137="Defer","Deferred",IF(F137="Needs evidence","Evidence Required","Pending"))))))</x:f>
        <x:v>Approved</x:v>
      </x:c>
      <x:c r="J137" s="107" t="str">
        <x:v>Critical</x:v>
      </x:c>
      <x:c r="K137" s="110" t="str">
        <x:v>Design Custodian + Procurement / Supplier QA</x:v>
      </x:c>
      <x:c r="L137" s="110"/>
      <x:c r="M137" s="108" t="str">
        <x:v>No</x:v>
      </x:c>
      <x:c r="N137" s="108" t="str"/>
      <x:c r="O137" s="108" t="str">
        <x:v>V2 guideline</x:v>
      </x:c>
      <x:c r="P137" s="108" t="str">
        <x:v>SRC-01</x:v>
      </x:c>
      <x:c r="Q137" s="108" t="str"/>
      <x:c r="R137" s="108" t="str">
        <x:v>07 — Color</x:v>
      </x:c>
      <x:c r="S137" s="110" t="str">
        <x:v>ChatGPT prefill · 06 Oct 2026</x:v>
      </x:c>
    </x:row>
    <x:row r="138" ht="36" customHeight="1">
      <x:c r="A138" s="107" t="str">
        <x:v>J06</x:v>
      </x:c>
      <x:c r="B138" s="107" t="str">
        <x:v>Color</x:v>
      </x:c>
      <x:c r="C138" s="107" t="str">
        <x:v>Brand decision</x:v>
      </x:c>
      <x:c r="D138" s="108" t="str">
        <x:v>Retire V1 #212C38?</x:v>
      </x:c>
      <x:c r="E138" s="108" t="str">
        <x:v>Yes</x:v>
      </x:c>
      <x:c r="F138" s="109" t="str">
        <x:v>Approve recommendation</x:v>
      </x:c>
      <x:c r="G138" s="110"/>
      <x:c r="H138" s="108" t="str">
        <x:f>IF(F138="Approve recommendation",E138,IF(F138="Modify / custom answer",G138,IF(F138="Reject","Rejected",IF(F138="Defer","Deferred",IF(F138="Needs evidence","Pending evidence","")))))</x:f>
        <x:v>Yes</x:v>
      </x:c>
      <x:c r="I138" s="107" t="str">
        <x:f>IF(F138="","Pending",IF(F138="Approve recommendation","Approved",IF(F138="Modify / custom answer",IF(G138="","Action Required","Approved with modification"),IF(F138="Reject","Rejected",IF(F138="Defer","Deferred",IF(F138="Needs evidence","Evidence Required","Pending"))))))</x:f>
        <x:v>Approved</x:v>
      </x:c>
      <x:c r="J138" s="107" t="str">
        <x:v>Critical</x:v>
      </x:c>
      <x:c r="K138" s="110" t="str">
        <x:v>Design Custodian + Procurement / Supplier QA</x:v>
      </x:c>
      <x:c r="L138" s="110"/>
      <x:c r="M138" s="108" t="str">
        <x:v>No</x:v>
      </x:c>
      <x:c r="N138" s="108" t="str"/>
      <x:c r="O138" s="108" t="str">
        <x:v>V2 guideline</x:v>
      </x:c>
      <x:c r="P138" s="108" t="str">
        <x:v>SRC-01</x:v>
      </x:c>
      <x:c r="Q138" s="108" t="str"/>
      <x:c r="R138" s="108" t="str">
        <x:v>07 — Color</x:v>
      </x:c>
      <x:c r="S138" s="110" t="str">
        <x:v>ChatGPT prefill · 06 Oct 2026</x:v>
      </x:c>
    </x:row>
    <x:row r="139" ht="36" customHeight="1">
      <x:c r="A139" s="107" t="str">
        <x:v>J07</x:v>
      </x:c>
      <x:c r="B139" s="107" t="str">
        <x:v>Color</x:v>
      </x:c>
      <x:c r="C139" s="107" t="str">
        <x:v>Brand decision</x:v>
      </x:c>
      <x:c r="D139" s="108" t="str">
        <x:v>Retire V1 #BBACA6 in favor of #BCACA7?</x:v>
      </x:c>
      <x:c r="E139" s="108" t="str">
        <x:v>Yes</x:v>
      </x:c>
      <x:c r="F139" s="109" t="str">
        <x:v>Approve recommendation</x:v>
      </x:c>
      <x:c r="G139" s="110"/>
      <x:c r="H139" s="108" t="str">
        <x:f>IF(F139="Approve recommendation",E139,IF(F139="Modify / custom answer",G139,IF(F139="Reject","Rejected",IF(F139="Defer","Deferred",IF(F139="Needs evidence","Pending evidence","")))))</x:f>
        <x:v>Yes</x:v>
      </x:c>
      <x:c r="I139" s="107" t="str">
        <x:f>IF(F139="","Pending",IF(F139="Approve recommendation","Approved",IF(F139="Modify / custom answer",IF(G139="","Action Required","Approved with modification"),IF(F139="Reject","Rejected",IF(F139="Defer","Deferred",IF(F139="Needs evidence","Evidence Required","Pending"))))))</x:f>
        <x:v>Approved</x:v>
      </x:c>
      <x:c r="J139" s="107" t="str">
        <x:v>Critical</x:v>
      </x:c>
      <x:c r="K139" s="110" t="str">
        <x:v>Design Custodian + Procurement / Supplier QA</x:v>
      </x:c>
      <x:c r="L139" s="110"/>
      <x:c r="M139" s="108" t="str">
        <x:v>No</x:v>
      </x:c>
      <x:c r="N139" s="108" t="str"/>
      <x:c r="O139" s="108" t="str">
        <x:v>V2 guideline</x:v>
      </x:c>
      <x:c r="P139" s="108" t="str">
        <x:v>SRC-01</x:v>
      </x:c>
      <x:c r="Q139" s="108" t="str"/>
      <x:c r="R139" s="108" t="str">
        <x:v>07 — Color</x:v>
      </x:c>
      <x:c r="S139" s="110" t="str">
        <x:v>ChatGPT prefill · 06 Oct 2026</x:v>
      </x:c>
    </x:row>
    <x:row r="140" ht="36" customHeight="1">
      <x:c r="A140" s="107" t="str">
        <x:v>J08</x:v>
      </x:c>
      <x:c r="B140" s="107" t="str">
        <x:v>Color</x:v>
      </x:c>
      <x:c r="C140" s="107" t="str">
        <x:v>Brand decision</x:v>
      </x:c>
      <x:c r="D140" s="108" t="str">
        <x:v>Allow extra accent colors?</x:v>
      </x:c>
      <x:c r="E140" s="108" t="str">
        <x:v>No by default</x:v>
      </x:c>
      <x:c r="F140" s="109" t="str">
        <x:v>Approve recommendation</x:v>
      </x:c>
      <x:c r="G140" s="110"/>
      <x:c r="H140" s="108" t="str">
        <x:f>IF(F140="Approve recommendation",E140,IF(F140="Modify / custom answer",G140,IF(F140="Reject","Rejected",IF(F140="Defer","Deferred",IF(F140="Needs evidence","Pending evidence","")))))</x:f>
        <x:v>No by default</x:v>
      </x:c>
      <x:c r="I140" s="107" t="str">
        <x:f>IF(F140="","Pending",IF(F140="Approve recommendation","Approved",IF(F140="Modify / custom answer",IF(G140="","Action Required","Approved with modification"),IF(F140="Reject","Rejected",IF(F140="Defer","Deferred",IF(F140="Needs evidence","Evidence Required","Pending"))))))</x:f>
        <x:v>Approved</x:v>
      </x:c>
      <x:c r="J140" s="107" t="str">
        <x:v>Critical</x:v>
      </x:c>
      <x:c r="K140" s="110" t="str">
        <x:v>Design Custodian + Procurement / Supplier QA</x:v>
      </x:c>
      <x:c r="L140" s="110"/>
      <x:c r="M140" s="108" t="str">
        <x:v>No</x:v>
      </x:c>
      <x:c r="N140" s="108" t="str"/>
      <x:c r="O140" s="108" t="str">
        <x:v>V2 guideline</x:v>
      </x:c>
      <x:c r="P140" s="108" t="str">
        <x:v>SRC-01</x:v>
      </x:c>
      <x:c r="Q140" s="108" t="str"/>
      <x:c r="R140" s="108" t="str">
        <x:v>07 — Color</x:v>
      </x:c>
      <x:c r="S140" s="110" t="str">
        <x:v>ChatGPT prefill · 06 Oct 2026</x:v>
      </x:c>
    </x:row>
    <x:row r="141" ht="36" customHeight="1">
      <x:c r="A141" s="107" t="str">
        <x:v>J09</x:v>
      </x:c>
      <x:c r="B141" s="107" t="str">
        <x:v>Color</x:v>
      </x:c>
      <x:c r="C141" s="107" t="str">
        <x:v>Brand decision</x:v>
      </x:c>
      <x:c r="D141" s="108" t="str">
        <x:v>Allow arbitrary gold?</x:v>
      </x:c>
      <x:c r="E141" s="108" t="str">
        <x:v>No</x:v>
      </x:c>
      <x:c r="F141" s="109" t="str">
        <x:v>Approve recommendation</x:v>
      </x:c>
      <x:c r="G141" s="110"/>
      <x:c r="H141" s="108" t="str">
        <x:f>IF(F141="Approve recommendation",E141,IF(F141="Modify / custom answer",G141,IF(F141="Reject","Rejected",IF(F141="Defer","Deferred",IF(F141="Needs evidence","Pending evidence","")))))</x:f>
        <x:v>No</x:v>
      </x:c>
      <x:c r="I141" s="107" t="str">
        <x:f>IF(F141="","Pending",IF(F141="Approve recommendation","Approved",IF(F141="Modify / custom answer",IF(G141="","Action Required","Approved with modification"),IF(F141="Reject","Rejected",IF(F141="Defer","Deferred",IF(F141="Needs evidence","Evidence Required","Pending"))))))</x:f>
        <x:v>Approved</x:v>
      </x:c>
      <x:c r="J141" s="107" t="str">
        <x:v>Critical</x:v>
      </x:c>
      <x:c r="K141" s="110" t="str">
        <x:v>Design Custodian + Procurement / Supplier QA</x:v>
      </x:c>
      <x:c r="L141" s="110"/>
      <x:c r="M141" s="108" t="str">
        <x:v>No</x:v>
      </x:c>
      <x:c r="N141" s="108" t="str"/>
      <x:c r="O141" s="108" t="str">
        <x:v>V2 guideline</x:v>
      </x:c>
      <x:c r="P141" s="108" t="str">
        <x:v>SRC-01</x:v>
      </x:c>
      <x:c r="Q141" s="108" t="str"/>
      <x:c r="R141" s="108" t="str">
        <x:v>07 — Color</x:v>
      </x:c>
      <x:c r="S141" s="110" t="str">
        <x:v>ChatGPT prefill · 06 Oct 2026</x:v>
      </x:c>
    </x:row>
    <x:row r="142" ht="36" customHeight="1">
      <x:c r="A142" s="107" t="str">
        <x:v>J10</x:v>
      </x:c>
      <x:c r="B142" s="107" t="str">
        <x:v>Color</x:v>
      </x:c>
      <x:c r="C142" s="107" t="str">
        <x:v>Brand decision</x:v>
      </x:c>
      <x:c r="D142" s="108" t="str">
        <x:v>Allow gradients?</x:v>
      </x:c>
      <x:c r="E142" s="108" t="str">
        <x:v>No in core identity</x:v>
      </x:c>
      <x:c r="F142" s="109" t="str">
        <x:v>Approve recommendation</x:v>
      </x:c>
      <x:c r="G142" s="110"/>
      <x:c r="H142" s="108" t="str">
        <x:f>IF(F142="Approve recommendation",E142,IF(F142="Modify / custom answer",G142,IF(F142="Reject","Rejected",IF(F142="Defer","Deferred",IF(F142="Needs evidence","Pending evidence","")))))</x:f>
        <x:v>No in core identity</x:v>
      </x:c>
      <x:c r="I142" s="107" t="str">
        <x:f>IF(F142="","Pending",IF(F142="Approve recommendation","Approved",IF(F142="Modify / custom answer",IF(G142="","Action Required","Approved with modification"),IF(F142="Reject","Rejected",IF(F142="Defer","Deferred",IF(F142="Needs evidence","Evidence Required","Pending"))))))</x:f>
        <x:v>Approved</x:v>
      </x:c>
      <x:c r="J142" s="107" t="str">
        <x:v>Critical</x:v>
      </x:c>
      <x:c r="K142" s="110" t="str">
        <x:v>Design Custodian + Procurement / Supplier QA</x:v>
      </x:c>
      <x:c r="L142" s="110"/>
      <x:c r="M142" s="108" t="str">
        <x:v>No</x:v>
      </x:c>
      <x:c r="N142" s="108" t="str"/>
      <x:c r="O142" s="108" t="str">
        <x:v>V2 guideline</x:v>
      </x:c>
      <x:c r="P142" s="108" t="str">
        <x:v>SRC-01</x:v>
      </x:c>
      <x:c r="Q142" s="108" t="str"/>
      <x:c r="R142" s="108" t="str">
        <x:v>07 — Color</x:v>
      </x:c>
      <x:c r="S142" s="110" t="str">
        <x:v>ChatGPT prefill · 06 Oct 2026</x:v>
      </x:c>
    </x:row>
    <x:row r="143" ht="36" customHeight="1">
      <x:c r="A143" s="107" t="str">
        <x:v>J11</x:v>
      </x:c>
      <x:c r="B143" s="107" t="str">
        <x:v>Color</x:v>
      </x:c>
      <x:c r="C143" s="107" t="str">
        <x:v>Brand decision</x:v>
      </x:c>
      <x:c r="D143" s="108" t="str">
        <x:v>Allow tints?</x:v>
      </x:c>
      <x:c r="E143" s="108" t="str">
        <x:v>Only if explicitly defined for functional digital states—not as new brand colors</x:v>
      </x:c>
      <x:c r="F143" s="109" t="str">
        <x:v>Approve recommendation</x:v>
      </x:c>
      <x:c r="G143" s="110"/>
      <x:c r="H143" s="108" t="str">
        <x:f>IF(F143="Approve recommendation",E143,IF(F143="Modify / custom answer",G143,IF(F143="Reject","Rejected",IF(F143="Defer","Deferred",IF(F143="Needs evidence","Pending evidence","")))))</x:f>
        <x:v>Only if explicitly defined for functional digital states—not as new brand colors</x:v>
      </x:c>
      <x:c r="I143" s="107" t="str">
        <x:f>IF(F143="","Pending",IF(F143="Approve recommendation","Approved",IF(F143="Modify / custom answer",IF(G143="","Action Required","Approved with modification"),IF(F143="Reject","Rejected",IF(F143="Defer","Deferred",IF(F143="Needs evidence","Evidence Required","Pending"))))))</x:f>
        <x:v>Approved</x:v>
      </x:c>
      <x:c r="J143" s="107" t="str">
        <x:v>Critical</x:v>
      </x:c>
      <x:c r="K143" s="110" t="str">
        <x:v>Design Custodian + Procurement / Supplier QA</x:v>
      </x:c>
      <x:c r="L143" s="110"/>
      <x:c r="M143" s="108" t="str">
        <x:v>No</x:v>
      </x:c>
      <x:c r="N143" s="108" t="str"/>
      <x:c r="O143" s="108" t="str">
        <x:v>V2 guideline</x:v>
      </x:c>
      <x:c r="P143" s="108" t="str">
        <x:v>SRC-01</x:v>
      </x:c>
      <x:c r="Q143" s="108" t="str"/>
      <x:c r="R143" s="108" t="str">
        <x:v>07 — Color</x:v>
      </x:c>
      <x:c r="S143" s="110" t="str">
        <x:v>ChatGPT prefill · 06 Oct 2026</x:v>
      </x:c>
    </x:row>
    <x:row r="144" ht="36" customHeight="1">
      <x:c r="A144" s="107" t="str">
        <x:v>J12</x:v>
      </x:c>
      <x:c r="B144" s="107" t="str">
        <x:v>Color</x:v>
      </x:c>
      <x:c r="C144" s="107" t="str">
        <x:v>Brand decision</x:v>
      </x:c>
      <x:c r="D144" s="108" t="str">
        <x:v>Signature relationship remains INK ↔ BEIGE?</x:v>
      </x:c>
      <x:c r="E144" s="108" t="str">
        <x:v>Yes</x:v>
      </x:c>
      <x:c r="F144" s="109" t="str">
        <x:v>Approve recommendation</x:v>
      </x:c>
      <x:c r="G144" s="110"/>
      <x:c r="H144" s="108" t="str">
        <x:f>IF(F144="Approve recommendation",E144,IF(F144="Modify / custom answer",G144,IF(F144="Reject","Rejected",IF(F144="Defer","Deferred",IF(F144="Needs evidence","Pending evidence","")))))</x:f>
        <x:v>Yes</x:v>
      </x:c>
      <x:c r="I144" s="107" t="str">
        <x:f>IF(F144="","Pending",IF(F144="Approve recommendation","Approved",IF(F144="Modify / custom answer",IF(G144="","Action Required","Approved with modification"),IF(F144="Reject","Rejected",IF(F144="Defer","Deferred",IF(F144="Needs evidence","Evidence Required","Pending"))))))</x:f>
        <x:v>Approved</x:v>
      </x:c>
      <x:c r="J144" s="107" t="str">
        <x:v>Critical</x:v>
      </x:c>
      <x:c r="K144" s="110" t="str">
        <x:v>Design Custodian + Procurement / Supplier QA</x:v>
      </x:c>
      <x:c r="L144" s="110"/>
      <x:c r="M144" s="108" t="str">
        <x:v>No</x:v>
      </x:c>
      <x:c r="N144" s="108" t="str"/>
      <x:c r="O144" s="108" t="str">
        <x:v>V2 guideline</x:v>
      </x:c>
      <x:c r="P144" s="108" t="str">
        <x:v>SRC-01</x:v>
      </x:c>
      <x:c r="Q144" s="108" t="str"/>
      <x:c r="R144" s="108" t="str">
        <x:v>07 — Color</x:v>
      </x:c>
      <x:c r="S144" s="110" t="str">
        <x:v>ChatGPT prefill · 06 Oct 2026</x:v>
      </x:c>
    </x:row>
    <x:row r="145" ht="36" customHeight="1">
      <x:c r="A145" s="107" t="str">
        <x:v>J13</x:v>
      </x:c>
      <x:c r="B145" s="107" t="str">
        <x:v>Color</x:v>
      </x:c>
      <x:c r="C145" s="107" t="str">
        <x:v>Brand decision</x:v>
      </x:c>
      <x:c r="D145" s="108" t="str">
        <x:v>BLACK/WHITE reserved primarily for monochrome reproduction?</x:v>
      </x:c>
      <x:c r="E145" s="108" t="str">
        <x:v>Yes</x:v>
      </x:c>
      <x:c r="F145" s="109" t="str">
        <x:v>Approve recommendation</x:v>
      </x:c>
      <x:c r="G145" s="110"/>
      <x:c r="H145" s="108" t="str">
        <x:f>IF(F145="Approve recommendation",E145,IF(F145="Modify / custom answer",G145,IF(F145="Reject","Rejected",IF(F145="Defer","Deferred",IF(F145="Needs evidence","Pending evidence","")))))</x:f>
        <x:v>Yes</x:v>
      </x:c>
      <x:c r="I145" s="107" t="str">
        <x:f>IF(F145="","Pending",IF(F145="Approve recommendation","Approved",IF(F145="Modify / custom answer",IF(G145="","Action Required","Approved with modification"),IF(F145="Reject","Rejected",IF(F145="Defer","Deferred",IF(F145="Needs evidence","Evidence Required","Pending"))))))</x:f>
        <x:v>Approved</x:v>
      </x:c>
      <x:c r="J145" s="107" t="str">
        <x:v>Critical</x:v>
      </x:c>
      <x:c r="K145" s="110" t="str">
        <x:v>Design Custodian + Procurement / Supplier QA</x:v>
      </x:c>
      <x:c r="L145" s="110"/>
      <x:c r="M145" s="108" t="str">
        <x:v>No</x:v>
      </x:c>
      <x:c r="N145" s="108" t="str"/>
      <x:c r="O145" s="108" t="str">
        <x:v>V2 guideline</x:v>
      </x:c>
      <x:c r="P145" s="108" t="str">
        <x:v>SRC-01</x:v>
      </x:c>
      <x:c r="Q145" s="108" t="str"/>
      <x:c r="R145" s="108" t="str">
        <x:v>07 — Color</x:v>
      </x:c>
      <x:c r="S145" s="110" t="str">
        <x:v>ChatGPT prefill · 06 Oct 2026</x:v>
      </x:c>
    </x:row>
    <x:row r="146" ht="36" customHeight="1">
      <x:c r="A146" s="107" t="str">
        <x:v>J14</x:v>
      </x:c>
      <x:c r="B146" s="107" t="str">
        <x:v>Color</x:v>
      </x:c>
      <x:c r="C146" s="107" t="str">
        <x:v>Decision + evidence</x:v>
      </x:c>
      <x:c r="D146" s="108" t="str">
        <x:v>Should process-specific CMYK values be validated before production?</x:v>
      </x:c>
      <x:c r="E146" s="108" t="str">
        <x:v>Yes</x:v>
      </x:c>
      <x:c r="F146" s="109" t="str">
        <x:v>Approve recommendation</x:v>
      </x:c>
      <x:c r="G146" s="110"/>
      <x:c r="H146" s="108" t="str">
        <x:f>IF(F146="Approve recommendation",E146,IF(F146="Modify / custom answer",G146,IF(F146="Reject","Rejected",IF(F146="Defer","Deferred",IF(F146="Needs evidence","Pending evidence","")))))</x:f>
        <x:v>Yes</x:v>
      </x:c>
      <x:c r="I146" s="107" t="str">
        <x:f>IF(F146="","Pending",IF(F146="Approve recommendation","Approved",IF(F146="Modify / custom answer",IF(G146="","Action Required","Approved with modification"),IF(F146="Reject","Rejected",IF(F146="Defer","Deferred",IF(F146="Needs evidence","Evidence Required","Pending"))))))</x:f>
        <x:v>Approved</x:v>
      </x:c>
      <x:c r="J146" s="107" t="str">
        <x:v>Critical</x:v>
      </x:c>
      <x:c r="K146" s="110" t="str">
        <x:v>Design Custodian + Procurement / Supplier QA</x:v>
      </x:c>
      <x:c r="L146" s="110"/>
      <x:c r="M146" s="108" t="str">
        <x:v>Yes</x:v>
      </x:c>
      <x:c r="N146" s="108" t="str"/>
      <x:c r="O146" s="108" t="str">
        <x:v>V2 guideline</x:v>
      </x:c>
      <x:c r="P146" s="108" t="str">
        <x:v>SRC-01</x:v>
      </x:c>
      <x:c r="Q146" s="108" t="str"/>
      <x:c r="R146" s="108" t="str">
        <x:v>07 — Color</x:v>
      </x:c>
      <x:c r="S146" s="110" t="str">
        <x:v>ChatGPT prefill · 06 Oct 2026</x:v>
      </x:c>
    </x:row>
    <x:row r="147" ht="36" customHeight="1">
      <x:c r="A147" s="107" t="str">
        <x:v>J15</x:v>
      </x:c>
      <x:c r="B147" s="107" t="str">
        <x:v>Color</x:v>
      </x:c>
      <x:c r="C147" s="107" t="str">
        <x:v>Brand decision</x:v>
      </x:c>
      <x:c r="D147" s="108" t="str">
        <x:v>Do we require Pantone references?</x:v>
      </x:c>
      <x:c r="E147" s="108" t="str">
        <x:v>Yes if spot-color/fabrication use warrants them</x:v>
      </x:c>
      <x:c r="F147" s="109" t="str">
        <x:v>Approve recommendation</x:v>
      </x:c>
      <x:c r="G147" s="110"/>
      <x:c r="H147" s="108" t="str">
        <x:f>IF(F147="Approve recommendation",E147,IF(F147="Modify / custom answer",G147,IF(F147="Reject","Rejected",IF(F147="Defer","Deferred",IF(F147="Needs evidence","Pending evidence","")))))</x:f>
        <x:v>Yes if spot-color/fabrication use warrants them</x:v>
      </x:c>
      <x:c r="I147" s="107" t="str">
        <x:f>IF(F147="","Pending",IF(F147="Approve recommendation","Approved",IF(F147="Modify / custom answer",IF(G147="","Action Required","Approved with modification"),IF(F147="Reject","Rejected",IF(F147="Defer","Deferred",IF(F147="Needs evidence","Evidence Required","Pending"))))))</x:f>
        <x:v>Approved</x:v>
      </x:c>
      <x:c r="J147" s="107" t="str">
        <x:v>Critical</x:v>
      </x:c>
      <x:c r="K147" s="110" t="str">
        <x:v>Design Custodian + Procurement / Supplier QA</x:v>
      </x:c>
      <x:c r="L147" s="110"/>
      <x:c r="M147" s="108" t="str">
        <x:v>No</x:v>
      </x:c>
      <x:c r="N147" s="108" t="str"/>
      <x:c r="O147" s="108" t="str">
        <x:v>V2 guideline</x:v>
      </x:c>
      <x:c r="P147" s="108" t="str">
        <x:v>SRC-01</x:v>
      </x:c>
      <x:c r="Q147" s="108" t="str"/>
      <x:c r="R147" s="108" t="str">
        <x:v>07 — Color</x:v>
      </x:c>
      <x:c r="S147" s="110" t="str">
        <x:v>ChatGPT prefill · 06 Oct 2026</x:v>
      </x:c>
    </x:row>
    <x:row r="148" ht="36" customHeight="1">
      <x:c r="A148" s="107" t="str">
        <x:v>J16</x:v>
      </x:c>
      <x:c r="B148" s="107" t="str">
        <x:v>Color</x:v>
      </x:c>
      <x:c r="C148" s="107" t="str">
        <x:v>Brand decision</x:v>
      </x:c>
      <x:c r="D148" s="108" t="str">
        <x:v>Do we require material-color standards/reference samples?</x:v>
      </x:c>
      <x:c r="E148" s="108" t="str">
        <x:v>Yes</x:v>
      </x:c>
      <x:c r="F148" s="109" t="str">
        <x:v>Approve recommendation</x:v>
      </x:c>
      <x:c r="G148" s="110"/>
      <x:c r="H148" s="108" t="str">
        <x:f>IF(F148="Approve recommendation",E148,IF(F148="Modify / custom answer",G148,IF(F148="Reject","Rejected",IF(F148="Defer","Deferred",IF(F148="Needs evidence","Pending evidence","")))))</x:f>
        <x:v>Yes</x:v>
      </x:c>
      <x:c r="I148" s="107" t="str">
        <x:f>IF(F148="","Pending",IF(F148="Approve recommendation","Approved",IF(F148="Modify / custom answer",IF(G148="","Action Required","Approved with modification"),IF(F148="Reject","Rejected",IF(F148="Defer","Deferred",IF(F148="Needs evidence","Evidence Required","Pending"))))))</x:f>
        <x:v>Approved</x:v>
      </x:c>
      <x:c r="J148" s="107" t="str">
        <x:v>Critical</x:v>
      </x:c>
      <x:c r="K148" s="110" t="str">
        <x:v>Design Custodian + Procurement / Supplier QA</x:v>
      </x:c>
      <x:c r="L148" s="110"/>
      <x:c r="M148" s="108" t="str">
        <x:v>No</x:v>
      </x:c>
      <x:c r="N148" s="108" t="str"/>
      <x:c r="O148" s="108" t="str">
        <x:v>V2 guideline</x:v>
      </x:c>
      <x:c r="P148" s="108" t="str">
        <x:v>SRC-01</x:v>
      </x:c>
      <x:c r="Q148" s="108" t="str"/>
      <x:c r="R148" s="108" t="str">
        <x:v>07 — Color</x:v>
      </x:c>
      <x:c r="S148" s="110" t="str">
        <x:v>ChatGPT prefill · 06 Oct 2026</x:v>
      </x:c>
    </x:row>
    <x:row r="149" ht="36" customHeight="1">
      <x:c r="A149" s="107" t="str">
        <x:v>K01</x:v>
      </x:c>
      <x:c r="B149" s="107" t="str">
        <x:v>Accessibility and color contrast</x:v>
      </x:c>
      <x:c r="C149" s="107" t="str">
        <x:v>Brand decision</x:v>
      </x:c>
      <x:c r="D149" s="108" t="str">
        <x:v>INK / BEIGE essential text</x:v>
      </x:c>
      <x:c r="E149" s="108" t="str">
        <x:v>Approved</x:v>
      </x:c>
      <x:c r="F149" s="109" t="str">
        <x:v>Approve recommendation</x:v>
      </x:c>
      <x:c r="G149" s="110"/>
      <x:c r="H149" s="108" t="str">
        <x:f>IF(F149="Approve recommendation",E149,IF(F149="Modify / custom answer",G149,IF(F149="Reject","Rejected",IF(F149="Defer","Deferred",IF(F149="Needs evidence","Pending evidence","")))))</x:f>
        <x:v>Approved</x:v>
      </x:c>
      <x:c r="I149" s="107" t="str">
        <x:f>IF(F149="","Pending",IF(F149="Approve recommendation","Approved",IF(F149="Modify / custom answer",IF(G149="","Action Required","Approved with modification"),IF(F149="Reject","Rejected",IF(F149="Defer","Deferred",IF(F149="Needs evidence","Evidence Required","Pending"))))))</x:f>
        <x:v>Approved</x:v>
      </x:c>
      <x:c r="J149" s="107" t="str">
        <x:v>High</x:v>
      </x:c>
      <x:c r="K149" s="110" t="str">
        <x:v>Accessibility QA + Design Custodian</x:v>
      </x:c>
      <x:c r="L149" s="110"/>
      <x:c r="M149" s="108" t="str">
        <x:v>No</x:v>
      </x:c>
      <x:c r="N149" s="108" t="str"/>
      <x:c r="O149" s="108" t="str">
        <x:v>V2 audit</x:v>
      </x:c>
      <x:c r="P149" s="108" t="str">
        <x:v>SRC-02</x:v>
      </x:c>
      <x:c r="Q149" s="108" t="str"/>
      <x:c r="R149" s="108" t="str">
        <x:v>07 — Color</x:v>
      </x:c>
      <x:c r="S149" s="110" t="str">
        <x:v>ChatGPT prefill · 06 Oct 2026</x:v>
      </x:c>
    </x:row>
    <x:row r="150" ht="36" customHeight="1">
      <x:c r="A150" s="107" t="str">
        <x:v>K02</x:v>
      </x:c>
      <x:c r="B150" s="107" t="str">
        <x:v>Accessibility and color contrast</x:v>
      </x:c>
      <x:c r="C150" s="107" t="str">
        <x:v>Brand decision</x:v>
      </x:c>
      <x:c r="D150" s="108" t="str">
        <x:v>INK / WHITE essential text</x:v>
      </x:c>
      <x:c r="E150" s="108" t="str">
        <x:v>Approved</x:v>
      </x:c>
      <x:c r="F150" s="109" t="str">
        <x:v>Approve recommendation</x:v>
      </x:c>
      <x:c r="G150" s="110"/>
      <x:c r="H150" s="108" t="str">
        <x:f>IF(F150="Approve recommendation",E150,IF(F150="Modify / custom answer",G150,IF(F150="Reject","Rejected",IF(F150="Defer","Deferred",IF(F150="Needs evidence","Pending evidence","")))))</x:f>
        <x:v>Approved</x:v>
      </x:c>
      <x:c r="I150" s="107" t="str">
        <x:f>IF(F150="","Pending",IF(F150="Approve recommendation","Approved",IF(F150="Modify / custom answer",IF(G150="","Action Required","Approved with modification"),IF(F150="Reject","Rejected",IF(F150="Defer","Deferred",IF(F150="Needs evidence","Evidence Required","Pending"))))))</x:f>
        <x:v>Approved</x:v>
      </x:c>
      <x:c r="J150" s="107" t="str">
        <x:v>High</x:v>
      </x:c>
      <x:c r="K150" s="110" t="str">
        <x:v>Accessibility QA + Design Custodian</x:v>
      </x:c>
      <x:c r="L150" s="110"/>
      <x:c r="M150" s="108" t="str">
        <x:v>No</x:v>
      </x:c>
      <x:c r="N150" s="108" t="str"/>
      <x:c r="O150" s="108" t="str">
        <x:v>V2 audit</x:v>
      </x:c>
      <x:c r="P150" s="108" t="str">
        <x:v>SRC-02</x:v>
      </x:c>
      <x:c r="Q150" s="108" t="str"/>
      <x:c r="R150" s="108" t="str">
        <x:v>07 — Color</x:v>
      </x:c>
      <x:c r="S150" s="110" t="str">
        <x:v>ChatGPT prefill · 06 Oct 2026</x:v>
      </x:c>
    </x:row>
    <x:row r="151" ht="36" customHeight="1">
      <x:c r="A151" s="107" t="str">
        <x:v>K03</x:v>
      </x:c>
      <x:c r="B151" s="107" t="str">
        <x:v>Accessibility and color contrast</x:v>
      </x:c>
      <x:c r="C151" s="107" t="str">
        <x:v>Brand decision</x:v>
      </x:c>
      <x:c r="D151" s="108" t="str">
        <x:v>BEIGE / BLACK essential text</x:v>
      </x:c>
      <x:c r="E151" s="108" t="str">
        <x:v>Approved</x:v>
      </x:c>
      <x:c r="F151" s="109" t="str">
        <x:v>Approve recommendation</x:v>
      </x:c>
      <x:c r="G151" s="110"/>
      <x:c r="H151" s="108" t="str">
        <x:f>IF(F151="Approve recommendation",E151,IF(F151="Modify / custom answer",G151,IF(F151="Reject","Rejected",IF(F151="Defer","Deferred",IF(F151="Needs evidence","Pending evidence","")))))</x:f>
        <x:v>Approved</x:v>
      </x:c>
      <x:c r="I151" s="107" t="str">
        <x:f>IF(F151="","Pending",IF(F151="Approve recommendation","Approved",IF(F151="Modify / custom answer",IF(G151="","Action Required","Approved with modification"),IF(F151="Reject","Rejected",IF(F151="Defer","Deferred",IF(F151="Needs evidence","Evidence Required","Pending"))))))</x:f>
        <x:v>Approved</x:v>
      </x:c>
      <x:c r="J151" s="107" t="str">
        <x:v>High</x:v>
      </x:c>
      <x:c r="K151" s="110" t="str">
        <x:v>Accessibility QA + Design Custodian</x:v>
      </x:c>
      <x:c r="L151" s="110"/>
      <x:c r="M151" s="108" t="str">
        <x:v>No</x:v>
      </x:c>
      <x:c r="N151" s="108" t="str"/>
      <x:c r="O151" s="108" t="str">
        <x:v>V2 audit</x:v>
      </x:c>
      <x:c r="P151" s="108" t="str">
        <x:v>SRC-02</x:v>
      </x:c>
      <x:c r="Q151" s="108" t="str"/>
      <x:c r="R151" s="108" t="str">
        <x:v>07 — Color</x:v>
      </x:c>
      <x:c r="S151" s="110" t="str">
        <x:v>ChatGPT prefill · 06 Oct 2026</x:v>
      </x:c>
    </x:row>
    <x:row r="152" ht="36" customHeight="1">
      <x:c r="A152" s="107" t="str">
        <x:v>K04</x:v>
      </x:c>
      <x:c r="B152" s="107" t="str">
        <x:v>Accessibility and color contrast</x:v>
      </x:c>
      <x:c r="C152" s="107" t="str">
        <x:v>Brand decision</x:v>
      </x:c>
      <x:c r="D152" s="108" t="str">
        <x:v>BLACK / WHITE essential text</x:v>
      </x:c>
      <x:c r="E152" s="108" t="str">
        <x:v>Approved</x:v>
      </x:c>
      <x:c r="F152" s="109" t="str">
        <x:v>Approve recommendation</x:v>
      </x:c>
      <x:c r="G152" s="110"/>
      <x:c r="H152" s="108" t="str">
        <x:f>IF(F152="Approve recommendation",E152,IF(F152="Modify / custom answer",G152,IF(F152="Reject","Rejected",IF(F152="Defer","Deferred",IF(F152="Needs evidence","Pending evidence","")))))</x:f>
        <x:v>Approved</x:v>
      </x:c>
      <x:c r="I152" s="107" t="str">
        <x:f>IF(F152="","Pending",IF(F152="Approve recommendation","Approved",IF(F152="Modify / custom answer",IF(G152="","Action Required","Approved with modification"),IF(F152="Reject","Rejected",IF(F152="Defer","Deferred",IF(F152="Needs evidence","Evidence Required","Pending"))))))</x:f>
        <x:v>Approved</x:v>
      </x:c>
      <x:c r="J152" s="107" t="str">
        <x:v>High</x:v>
      </x:c>
      <x:c r="K152" s="110" t="str">
        <x:v>Accessibility QA + Design Custodian</x:v>
      </x:c>
      <x:c r="L152" s="110"/>
      <x:c r="M152" s="108" t="str">
        <x:v>No</x:v>
      </x:c>
      <x:c r="N152" s="108" t="str"/>
      <x:c r="O152" s="108" t="str">
        <x:v>V2 audit</x:v>
      </x:c>
      <x:c r="P152" s="108" t="str">
        <x:v>SRC-02</x:v>
      </x:c>
      <x:c r="Q152" s="108" t="str"/>
      <x:c r="R152" s="108" t="str">
        <x:v>07 — Color</x:v>
      </x:c>
      <x:c r="S152" s="110" t="str">
        <x:v>ChatGPT prefill · 06 Oct 2026</x:v>
      </x:c>
    </x:row>
    <x:row r="153" ht="36" customHeight="1">
      <x:c r="A153" s="107" t="str">
        <x:v>K05</x:v>
      </x:c>
      <x:c r="B153" s="107" t="str">
        <x:v>Accessibility and color contrast</x:v>
      </x:c>
      <x:c r="C153" s="107" t="str">
        <x:v>Brand decision</x:v>
      </x:c>
      <x:c r="D153" s="108" t="str">
        <x:v>BEIGE / WHITE essential text</x:v>
      </x:c>
      <x:c r="E153" s="108" t="str">
        <x:v>Prohibited</x:v>
      </x:c>
      <x:c r="F153" s="109" t="str">
        <x:v>Approve recommendation</x:v>
      </x:c>
      <x:c r="G153" s="110"/>
      <x:c r="H153" s="108" t="str">
        <x:f>IF(F153="Approve recommendation",E153,IF(F153="Modify / custom answer",G153,IF(F153="Reject","Rejected",IF(F153="Defer","Deferred",IF(F153="Needs evidence","Pending evidence","")))))</x:f>
        <x:v>Prohibited</x:v>
      </x:c>
      <x:c r="I153" s="107" t="str">
        <x:f>IF(F153="","Pending",IF(F153="Approve recommendation","Approved",IF(F153="Modify / custom answer",IF(G153="","Action Required","Approved with modification"),IF(F153="Reject","Rejected",IF(F153="Defer","Deferred",IF(F153="Needs evidence","Evidence Required","Pending"))))))</x:f>
        <x:v>Approved</x:v>
      </x:c>
      <x:c r="J153" s="107" t="str">
        <x:v>High</x:v>
      </x:c>
      <x:c r="K153" s="110" t="str">
        <x:v>Accessibility QA + Design Custodian</x:v>
      </x:c>
      <x:c r="L153" s="110"/>
      <x:c r="M153" s="108" t="str">
        <x:v>No</x:v>
      </x:c>
      <x:c r="N153" s="108" t="str"/>
      <x:c r="O153" s="108" t="str">
        <x:v>V2 audit</x:v>
      </x:c>
      <x:c r="P153" s="108" t="str">
        <x:v>SRC-02</x:v>
      </x:c>
      <x:c r="Q153" s="108" t="str"/>
      <x:c r="R153" s="108" t="str">
        <x:v>07 — Color</x:v>
      </x:c>
      <x:c r="S153" s="110" t="str">
        <x:v>ChatGPT prefill · 06 Oct 2026</x:v>
      </x:c>
    </x:row>
    <x:row r="154" ht="36" customHeight="1">
      <x:c r="A154" s="107" t="str">
        <x:v>K06</x:v>
      </x:c>
      <x:c r="B154" s="107" t="str">
        <x:v>Accessibility and color contrast</x:v>
      </x:c>
      <x:c r="C154" s="107" t="str">
        <x:v>Brand decision</x:v>
      </x:c>
      <x:c r="D154" s="108" t="str">
        <x:v>INK / BLACK essential text</x:v>
      </x:c>
      <x:c r="E154" s="108" t="str">
        <x:v>Prohibited</x:v>
      </x:c>
      <x:c r="F154" s="109" t="str">
        <x:v>Approve recommendation</x:v>
      </x:c>
      <x:c r="G154" s="110"/>
      <x:c r="H154" s="108" t="str">
        <x:f>IF(F154="Approve recommendation",E154,IF(F154="Modify / custom answer",G154,IF(F154="Reject","Rejected",IF(F154="Defer","Deferred",IF(F154="Needs evidence","Pending evidence","")))))</x:f>
        <x:v>Prohibited</x:v>
      </x:c>
      <x:c r="I154" s="107" t="str">
        <x:f>IF(F154="","Pending",IF(F154="Approve recommendation","Approved",IF(F154="Modify / custom answer",IF(G154="","Action Required","Approved with modification"),IF(F154="Reject","Rejected",IF(F154="Defer","Deferred",IF(F154="Needs evidence","Evidence Required","Pending"))))))</x:f>
        <x:v>Approved</x:v>
      </x:c>
      <x:c r="J154" s="107" t="str">
        <x:v>High</x:v>
      </x:c>
      <x:c r="K154" s="110" t="str">
        <x:v>Accessibility QA + Design Custodian</x:v>
      </x:c>
      <x:c r="L154" s="110"/>
      <x:c r="M154" s="108" t="str">
        <x:v>No</x:v>
      </x:c>
      <x:c r="N154" s="108" t="str"/>
      <x:c r="O154" s="108" t="str">
        <x:v>V2 audit</x:v>
      </x:c>
      <x:c r="P154" s="108" t="str">
        <x:v>SRC-02</x:v>
      </x:c>
      <x:c r="Q154" s="108" t="str"/>
      <x:c r="R154" s="108" t="str">
        <x:v>07 — Color</x:v>
      </x:c>
      <x:c r="S154" s="110" t="str">
        <x:v>ChatGPT prefill · 06 Oct 2026</x:v>
      </x:c>
    </x:row>
    <x:row r="155" ht="36" customHeight="1">
      <x:c r="A155" s="107" t="str">
        <x:v>K07</x:v>
      </x:c>
      <x:c r="B155" s="107" t="str">
        <x:v>Accessibility and color contrast</x:v>
      </x:c>
      <x:c r="C155" s="107" t="str">
        <x:v>Brand decision</x:v>
      </x:c>
      <x:c r="D155" s="108" t="str">
        <x:v>May low-contrast combinations remain decorative?</x:v>
      </x:c>
      <x:c r="E155" s="108" t="str">
        <x:v>Yes, if they carry no essential meaning</x:v>
      </x:c>
      <x:c r="F155" s="109" t="str">
        <x:v>Approve recommendation</x:v>
      </x:c>
      <x:c r="G155" s="110"/>
      <x:c r="H155" s="108" t="str">
        <x:f>IF(F155="Approve recommendation",E155,IF(F155="Modify / custom answer",G155,IF(F155="Reject","Rejected",IF(F155="Defer","Deferred",IF(F155="Needs evidence","Pending evidence","")))))</x:f>
        <x:v>Yes, if they carry no essential meaning</x:v>
      </x:c>
      <x:c r="I155" s="107" t="str">
        <x:f>IF(F155="","Pending",IF(F155="Approve recommendation","Approved",IF(F155="Modify / custom answer",IF(G155="","Action Required","Approved with modification"),IF(F155="Reject","Rejected",IF(F155="Defer","Deferred",IF(F155="Needs evidence","Evidence Required","Pending"))))))</x:f>
        <x:v>Approved</x:v>
      </x:c>
      <x:c r="J155" s="107" t="str">
        <x:v>High</x:v>
      </x:c>
      <x:c r="K155" s="110" t="str">
        <x:v>Accessibility QA + Design Custodian</x:v>
      </x:c>
      <x:c r="L155" s="110"/>
      <x:c r="M155" s="108" t="str">
        <x:v>No</x:v>
      </x:c>
      <x:c r="N155" s="108" t="str"/>
      <x:c r="O155" s="108" t="str">
        <x:v>V2 audit</x:v>
      </x:c>
      <x:c r="P155" s="108" t="str">
        <x:v>SRC-02</x:v>
      </x:c>
      <x:c r="Q155" s="108" t="str"/>
      <x:c r="R155" s="108" t="str">
        <x:v>07 — Color</x:v>
      </x:c>
      <x:c r="S155" s="110" t="str">
        <x:v>ChatGPT prefill · 06 Oct 2026</x:v>
      </x:c>
    </x:row>
    <x:row r="156" ht="36" customHeight="1">
      <x:c r="A156" s="107" t="str">
        <x:v>K08</x:v>
      </x:c>
      <x:c r="B156" s="107" t="str">
        <x:v>Accessibility and color contrast</x:v>
      </x:c>
      <x:c r="C156" s="107" t="str">
        <x:v>Brand decision</x:v>
      </x:c>
      <x:c r="D156" s="108" t="str">
        <x:v>Target digital accessibility standard</x:v>
      </x:c>
      <x:c r="E156" s="108" t="str">
        <x:v>WCAG 2.2 AA minimum</x:v>
      </x:c>
      <x:c r="F156" s="109" t="str">
        <x:v>Approve recommendation</x:v>
      </x:c>
      <x:c r="G156" s="110"/>
      <x:c r="H156" s="108" t="str">
        <x:f>IF(F156="Approve recommendation",E156,IF(F156="Modify / custom answer",G156,IF(F156="Reject","Rejected",IF(F156="Defer","Deferred",IF(F156="Needs evidence","Pending evidence","")))))</x:f>
        <x:v>WCAG 2.2 AA minimum</x:v>
      </x:c>
      <x:c r="I156" s="107" t="str">
        <x:f>IF(F156="","Pending",IF(F156="Approve recommendation","Approved",IF(F156="Modify / custom answer",IF(G156="","Action Required","Approved with modification"),IF(F156="Reject","Rejected",IF(F156="Defer","Deferred",IF(F156="Needs evidence","Evidence Required","Pending"))))))</x:f>
        <x:v>Approved</x:v>
      </x:c>
      <x:c r="J156" s="107" t="str">
        <x:v>High</x:v>
      </x:c>
      <x:c r="K156" s="110" t="str">
        <x:v>Accessibility QA + Design Custodian</x:v>
      </x:c>
      <x:c r="L156" s="110"/>
      <x:c r="M156" s="108" t="str">
        <x:v>Yes</x:v>
      </x:c>
      <x:c r="N156" s="108" t="str"/>
      <x:c r="O156" s="108" t="str">
        <x:v>V2 audit</x:v>
      </x:c>
      <x:c r="P156" s="108" t="str">
        <x:v>SRC-02</x:v>
      </x:c>
      <x:c r="Q156" s="108" t="str"/>
      <x:c r="R156" s="108" t="str">
        <x:v>07 — Color</x:v>
      </x:c>
      <x:c r="S156" s="110" t="str">
        <x:v>ChatGPT prefill · 06 Oct 2026</x:v>
      </x:c>
    </x:row>
    <x:row r="157" ht="36" customHeight="1">
      <x:c r="A157" s="107" t="str">
        <x:v>K09</x:v>
      </x:c>
      <x:c r="B157" s="107" t="str">
        <x:v>Accessibility and color contrast</x:v>
      </x:c>
      <x:c r="C157" s="107" t="str">
        <x:v>Brand decision</x:v>
      </x:c>
      <x:c r="D157" s="108" t="str">
        <x:v>Should accessibility exceptions require explicit approval?</x:v>
      </x:c>
      <x:c r="E157" s="108" t="str">
        <x:v>Yes</x:v>
      </x:c>
      <x:c r="F157" s="109" t="str">
        <x:v>Approve recommendation</x:v>
      </x:c>
      <x:c r="G157" s="110"/>
      <x:c r="H157" s="108" t="str">
        <x:f>IF(F157="Approve recommendation",E157,IF(F157="Modify / custom answer",G157,IF(F157="Reject","Rejected",IF(F157="Defer","Deferred",IF(F157="Needs evidence","Pending evidence","")))))</x:f>
        <x:v>Yes</x:v>
      </x:c>
      <x:c r="I157" s="107" t="str">
        <x:f>IF(F157="","Pending",IF(F157="Approve recommendation","Approved",IF(F157="Modify / custom answer",IF(G157="","Action Required","Approved with modification"),IF(F157="Reject","Rejected",IF(F157="Defer","Deferred",IF(F157="Needs evidence","Evidence Required","Pending"))))))</x:f>
        <x:v>Approved</x:v>
      </x:c>
      <x:c r="J157" s="107" t="str">
        <x:v>High</x:v>
      </x:c>
      <x:c r="K157" s="110" t="str">
        <x:v>Accessibility QA + Design Custodian</x:v>
      </x:c>
      <x:c r="L157" s="110"/>
      <x:c r="M157" s="108" t="str">
        <x:v>Yes</x:v>
      </x:c>
      <x:c r="N157" s="108" t="str"/>
      <x:c r="O157" s="108" t="str">
        <x:v>V2 audit</x:v>
      </x:c>
      <x:c r="P157" s="108" t="str">
        <x:v>SRC-02</x:v>
      </x:c>
      <x:c r="Q157" s="108" t="str"/>
      <x:c r="R157" s="108" t="str">
        <x:v>07 — Color</x:v>
      </x:c>
      <x:c r="S157" s="110" t="str">
        <x:v>ChatGPT prefill · 06 Oct 2026</x:v>
      </x:c>
    </x:row>
    <x:row r="158" ht="36" customHeight="1">
      <x:c r="A158" s="107" t="str">
        <x:v>L01</x:v>
      </x:c>
      <x:c r="B158" s="107" t="str">
        <x:v>Latin typography</x:v>
      </x:c>
      <x:c r="C158" s="107" t="str">
        <x:v>Brand decision</x:v>
      </x:c>
      <x:c r="D158" s="108" t="str">
        <x:v>Approve Jost as the final primary display and headline family for V3.0?</x:v>
      </x:c>
      <x:c r="E158" s="108" t="str">
        <x:v>Yes — Jost is the working Design System standard for display/headings; freeze the exact font build and weights for release.</x:v>
      </x:c>
      <x:c r="F158" s="109" t="str">
        <x:v>Approve recommendation</x:v>
      </x:c>
      <x:c r="G158" s="110"/>
      <x:c r="H158" s="108" t="str">
        <x:f>IF(F158="Approve recommendation",E158,IF(F158="Modify / custom answer",G158,IF(F158="Reject","Rejected",IF(F158="Defer","Deferred",IF(F158="Needs evidence","Pending evidence","")))))</x:f>
        <x:v>Yes — Jost is the working Design System standard for display/headings; freeze the exact font build and weights for release.</x:v>
      </x:c>
      <x:c r="I158" s="107" t="str">
        <x:f>IF(F158="","Pending",IF(F158="Approve recommendation","Approved",IF(F158="Modify / custom answer",IF(G158="","Action Required","Approved with modification"),IF(F158="Reject","Rejected",IF(F158="Defer","Deferred",IF(F158="Needs evidence","Evidence Required","Pending"))))))</x:f>
        <x:v>Approved</x:v>
      </x:c>
      <x:c r="J158" s="107" t="str">
        <x:v>Critical</x:v>
      </x:c>
      <x:c r="K158" s="110" t="str">
        <x:v>Design Custodian + Legal / IP Counsel</x:v>
      </x:c>
      <x:c r="L158" s="110"/>
      <x:c r="M158" s="108" t="str">
        <x:v>Yes</x:v>
      </x:c>
      <x:c r="N158" s="108" t="str">
        <x:v>Exact Jost build, licensing and deployment are verified across required outputs.</x:v>
      </x:c>
      <x:c r="O158" s="108" t="str">
        <x:v>GEM Design System v2.1 + V2 audit</x:v>
      </x:c>
      <x:c r="P158" s="108" t="str">
        <x:v>SRC-04, SRC-02</x:v>
      </x:c>
      <x:c r="Q158" s="108" t="str"/>
      <x:c r="R158" s="108" t="str">
        <x:v>08 — Typography</x:v>
      </x:c>
      <x:c r="S158" s="110" t="str">
        <x:v>ChatGPT prefill · 06 Oct 2026</x:v>
      </x:c>
    </x:row>
    <x:row r="159" ht="36" customHeight="1">
      <x:c r="A159" s="107" t="str">
        <x:v>L02</x:v>
      </x:c>
      <x:c r="B159" s="107" t="str">
        <x:v>Latin typography</x:v>
      </x:c>
      <x:c r="C159" s="107" t="str">
        <x:v>Brand decision</x:v>
      </x:c>
      <x:c r="D159" s="108" t="str">
        <x:v>Approve Inter as the final body, UI and office family for V3.0?</x:v>
      </x:c>
      <x:c r="E159" s="108" t="str">
        <x:v>Yes — Inter is the working Design System standard for body, labels and controls; use it consistently for UI and office outputs.</x:v>
      </x:c>
      <x:c r="F159" s="109" t="str">
        <x:v>Approve recommendation</x:v>
      </x:c>
      <x:c r="G159" s="110"/>
      <x:c r="H159" s="108" t="str">
        <x:f>IF(F159="Approve recommendation",E159,IF(F159="Modify / custom answer",G159,IF(F159="Reject","Rejected",IF(F159="Defer","Deferred",IF(F159="Needs evidence","Pending evidence","")))))</x:f>
        <x:v>Yes — Inter is the working Design System standard for body, labels and controls; use it consistently for UI and office outputs.</x:v>
      </x:c>
      <x:c r="I159" s="107" t="str">
        <x:f>IF(F159="","Pending",IF(F159="Approve recommendation","Approved",IF(F159="Modify / custom answer",IF(G159="","Action Required","Approved with modification"),IF(F159="Reject","Rejected",IF(F159="Defer","Deferred",IF(F159="Needs evidence","Evidence Required","Pending"))))))</x:f>
        <x:v>Approved</x:v>
      </x:c>
      <x:c r="J159" s="107" t="str">
        <x:v>Critical</x:v>
      </x:c>
      <x:c r="K159" s="110" t="str">
        <x:v>Design Custodian + Legal / IP Counsel</x:v>
      </x:c>
      <x:c r="L159" s="110"/>
      <x:c r="M159" s="108" t="str">
        <x:v>Yes</x:v>
      </x:c>
      <x:c r="N159" s="108" t="str">
        <x:v>Exact Inter build, licensing and deployment are verified across required outputs.</x:v>
      </x:c>
      <x:c r="O159" s="108" t="str">
        <x:v>GEM Design System v2.1 + V2 audit</x:v>
      </x:c>
      <x:c r="P159" s="108" t="str">
        <x:v>SRC-04, SRC-02</x:v>
      </x:c>
      <x:c r="Q159" s="108" t="str"/>
      <x:c r="R159" s="108" t="str">
        <x:v>08 — Typography</x:v>
      </x:c>
      <x:c r="S159" s="110" t="str">
        <x:v>ChatGPT prefill · 06 Oct 2026</x:v>
      </x:c>
    </x:row>
    <x:row r="160" ht="36" customHeight="1">
      <x:c r="A160" s="107" t="str">
        <x:v>L03</x:v>
      </x:c>
      <x:c r="B160" s="107" t="str">
        <x:v>Latin typography</x:v>
      </x:c>
      <x:c r="C160" s="107" t="str">
        <x:v>Brand decision</x:v>
      </x:c>
      <x:c r="D160" s="108" t="str">
        <x:v>Should Futura PT / Montserrat / Aeonik / Satoshi remain active default production fonts?</x:v>
      </x:c>
      <x:c r="E160" s="108" t="str">
        <x:v>No — move them to reference/legacy status unless a separately approved premium typography programme is commissioned.</x:v>
      </x:c>
      <x:c r="F160" s="109" t="str">
        <x:v>Approve recommendation</x:v>
      </x:c>
      <x:c r="G160" s="110"/>
      <x:c r="H160" s="108" t="str">
        <x:f>IF(F160="Approve recommendation",E160,IF(F160="Modify / custom answer",G160,IF(F160="Reject","Rejected",IF(F160="Defer","Deferred",IF(F160="Needs evidence","Pending evidence","")))))</x:f>
        <x:v>No — move them to reference/legacy status unless a separately approved premium typography programme is commissioned.</x:v>
      </x:c>
      <x:c r="I160" s="107" t="str">
        <x:f>IF(F160="","Pending",IF(F160="Approve recommendation","Approved",IF(F160="Modify / custom answer",IF(G160="","Action Required","Approved with modification"),IF(F160="Reject","Rejected",IF(F160="Defer","Deferred",IF(F160="Needs evidence","Evidence Required","Pending"))))))</x:f>
        <x:v>Approved</x:v>
      </x:c>
      <x:c r="J160" s="107" t="str">
        <x:v>Critical</x:v>
      </x:c>
      <x:c r="K160" s="110" t="str">
        <x:v>Design Custodian + Presentation / Document QA</x:v>
      </x:c>
      <x:c r="L160" s="110"/>
      <x:c r="M160" s="108" t="str">
        <x:v>No</x:v>
      </x:c>
      <x:c r="N160" s="108" t="str"/>
      <x:c r="O160" s="108" t="str">
        <x:v>GEM Design System v2.1 + V2 guideline</x:v>
      </x:c>
      <x:c r="P160" s="108" t="str">
        <x:v>SRC-04, SRC-01</x:v>
      </x:c>
      <x:c r="Q160" s="108" t="str"/>
      <x:c r="R160" s="108" t="str">
        <x:v>08 — Typography</x:v>
      </x:c>
      <x:c r="S160" s="110" t="str">
        <x:v>ChatGPT prefill · 06 Oct 2026</x:v>
      </x:c>
    </x:row>
    <x:row r="161" ht="36" customHeight="1">
      <x:c r="A161" s="107" t="str">
        <x:v>L04</x:v>
      </x:c>
      <x:c r="B161" s="107" t="str">
        <x:v>Latin typography</x:v>
      </x:c>
      <x:c r="C161" s="107" t="str">
        <x:v>Brand decision</x:v>
      </x:c>
      <x:c r="D161" s="108" t="str">
        <x:v>Should V3.0 standardize on one two-family Latin architecture?</x:v>
      </x:c>
      <x:c r="E161" s="108" t="str">
        <x:v>Yes — Jost for display/headings + Inter for body/UI/office.</x:v>
      </x:c>
      <x:c r="F161" s="109" t="str">
        <x:v>Approve recommendation</x:v>
      </x:c>
      <x:c r="G161" s="110"/>
      <x:c r="H161" s="108" t="str">
        <x:f>IF(F161="Approve recommendation",E161,IF(F161="Modify / custom answer",G161,IF(F161="Reject","Rejected",IF(F161="Defer","Deferred",IF(F161="Needs evidence","Pending evidence","")))))</x:f>
        <x:v>Yes — Jost for display/headings + Inter for body/UI/office.</x:v>
      </x:c>
      <x:c r="I161" s="107" t="str">
        <x:f>IF(F161="","Pending",IF(F161="Approve recommendation","Approved",IF(F161="Modify / custom answer",IF(G161="","Action Required","Approved with modification"),IF(F161="Reject","Rejected",IF(F161="Defer","Deferred",IF(F161="Needs evidence","Evidence Required","Pending"))))))</x:f>
        <x:v>Approved</x:v>
      </x:c>
      <x:c r="J161" s="107" t="str">
        <x:v>Critical</x:v>
      </x:c>
      <x:c r="K161" s="110" t="str">
        <x:v>Design Custodian + Presentation / Document QA</x:v>
      </x:c>
      <x:c r="L161" s="110"/>
      <x:c r="M161" s="108" t="str">
        <x:v>No</x:v>
      </x:c>
      <x:c r="N161" s="108" t="str"/>
      <x:c r="O161" s="108" t="str">
        <x:v>GEM Design System v2.1</x:v>
      </x:c>
      <x:c r="P161" s="108" t="str">
        <x:v>SRC-04</x:v>
      </x:c>
      <x:c r="Q161" s="108" t="str"/>
      <x:c r="R161" s="108" t="str">
        <x:v>08 — Typography</x:v>
      </x:c>
      <x:c r="S161" s="110" t="str">
        <x:v>ChatGPT prefill · 06 Oct 2026</x:v>
      </x:c>
    </x:row>
    <x:row r="162" ht="36" customHeight="1">
      <x:c r="A162" s="107" t="str">
        <x:v>L05</x:v>
      </x:c>
      <x:c r="B162" s="107" t="str">
        <x:v>Latin typography</x:v>
      </x:c>
      <x:c r="C162" s="107" t="str">
        <x:v>Brand decision</x:v>
      </x:c>
      <x:c r="D162" s="108" t="str">
        <x:v>Should Inter be the web/UI body and label standard?</x:v>
      </x:c>
      <x:c r="E162" s="108" t="str">
        <x:v>Yes.</x:v>
      </x:c>
      <x:c r="F162" s="109" t="str">
        <x:v>Approve recommendation</x:v>
      </x:c>
      <x:c r="G162" s="110"/>
      <x:c r="H162" s="108" t="str">
        <x:f>IF(F162="Approve recommendation",E162,IF(F162="Modify / custom answer",G162,IF(F162="Reject","Rejected",IF(F162="Defer","Deferred",IF(F162="Needs evidence","Pending evidence","")))))</x:f>
        <x:v>Yes.</x:v>
      </x:c>
      <x:c r="I162" s="107" t="str">
        <x:f>IF(F162="","Pending",IF(F162="Approve recommendation","Approved",IF(F162="Modify / custom answer",IF(G162="","Action Required","Approved with modification"),IF(F162="Reject","Rejected",IF(F162="Defer","Deferred",IF(F162="Needs evidence","Evidence Required","Pending"))))))</x:f>
        <x:v>Approved</x:v>
      </x:c>
      <x:c r="J162" s="107" t="str">
        <x:v>Critical</x:v>
      </x:c>
      <x:c r="K162" s="110" t="str">
        <x:v>Design Custodian + Presentation / Document QA</x:v>
      </x:c>
      <x:c r="L162" s="110"/>
      <x:c r="M162" s="108" t="str">
        <x:v>No</x:v>
      </x:c>
      <x:c r="N162" s="108" t="str"/>
      <x:c r="O162" s="108" t="str">
        <x:v>GEM Design System v2.1</x:v>
      </x:c>
      <x:c r="P162" s="108" t="str">
        <x:v>SRC-04</x:v>
      </x:c>
      <x:c r="Q162" s="108" t="str"/>
      <x:c r="R162" s="108" t="str">
        <x:v>08 — Typography</x:v>
      </x:c>
      <x:c r="S162" s="110" t="str">
        <x:v>ChatGPT prefill · 06 Oct 2026</x:v>
      </x:c>
    </x:row>
    <x:row r="163" ht="36" customHeight="1">
      <x:c r="A163" s="107" t="str">
        <x:v>L06</x:v>
      </x:c>
      <x:c r="B163" s="107" t="str">
        <x:v>Latin typography</x:v>
      </x:c>
      <x:c r="C163" s="107" t="str">
        <x:v>Brand decision</x:v>
      </x:c>
      <x:c r="D163" s="108" t="str">
        <x:v>Should the exact font files/builds be frozen and versioned for release?</x:v>
      </x:c>
      <x:c r="E163" s="108" t="str">
        <x:v>Yes — release only tested builds with license references and deployment QA.</x:v>
      </x:c>
      <x:c r="F163" s="109" t="str">
        <x:v>Approve recommendation</x:v>
      </x:c>
      <x:c r="G163" s="110"/>
      <x:c r="H163" s="108" t="str">
        <x:f>IF(F163="Approve recommendation",E163,IF(F163="Modify / custom answer",G163,IF(F163="Reject","Rejected",IF(F163="Defer","Deferred",IF(F163="Needs evidence","Pending evidence","")))))</x:f>
        <x:v>Yes — release only tested builds with license references and deployment QA.</x:v>
      </x:c>
      <x:c r="I163" s="107" t="str">
        <x:f>IF(F163="","Pending",IF(F163="Approve recommendation","Approved",IF(F163="Modify / custom answer",IF(G163="","Action Required","Approved with modification"),IF(F163="Reject","Rejected",IF(F163="Defer","Deferred",IF(F163="Needs evidence","Evidence Required","Pending"))))))</x:f>
        <x:v>Approved</x:v>
      </x:c>
      <x:c r="J163" s="107" t="str">
        <x:v>Critical</x:v>
      </x:c>
      <x:c r="K163" s="110" t="str">
        <x:v>Design Custodian + Legal / IP Counsel + Presentation / Document QA</x:v>
      </x:c>
      <x:c r="L163" s="110"/>
      <x:c r="M163" s="108" t="str">
        <x:v>Yes</x:v>
      </x:c>
      <x:c r="N163" s="108" t="str">
        <x:v>Approved font files/builds, licenses and native rendering tests are archived.</x:v>
      </x:c>
      <x:c r="O163" s="108" t="str">
        <x:v>GEM Design System v2.1 + V2 audit</x:v>
      </x:c>
      <x:c r="P163" s="108" t="str">
        <x:v>SRC-04, SRC-02</x:v>
      </x:c>
      <x:c r="Q163" s="108" t="str"/>
      <x:c r="R163" s="108" t="str">
        <x:v>08 — Typography</x:v>
      </x:c>
      <x:c r="S163" s="110" t="str">
        <x:v>ChatGPT prefill · 06 Oct 2026</x:v>
      </x:c>
    </x:row>
    <x:row r="164" ht="36" customHeight="1">
      <x:c r="A164" s="107" t="str">
        <x:v>L07</x:v>
      </x:c>
      <x:c r="B164" s="107" t="str">
        <x:v>Latin typography</x:v>
      </x:c>
      <x:c r="C164" s="107" t="str">
        <x:v>Brand decision</x:v>
      </x:c>
      <x:c r="D164" s="108" t="str">
        <x:v>Retire Whyte Thin as active identity typography?</x:v>
      </x:c>
      <x:c r="E164" s="108" t="str">
        <x:v>Yes; archive as V1 only</x:v>
      </x:c>
      <x:c r="F164" s="109" t="str">
        <x:v>Approve recommendation</x:v>
      </x:c>
      <x:c r="G164" s="110"/>
      <x:c r="H164" s="108" t="str">
        <x:f>IF(F164="Approve recommendation",E164,IF(F164="Modify / custom answer",G164,IF(F164="Reject","Rejected",IF(F164="Defer","Deferred",IF(F164="Needs evidence","Pending evidence","")))))</x:f>
        <x:v>Yes; archive as V1 only</x:v>
      </x:c>
      <x:c r="I164" s="107" t="str">
        <x:f>IF(F164="","Pending",IF(F164="Approve recommendation","Approved",IF(F164="Modify / custom answer",IF(G164="","Action Required","Approved with modification"),IF(F164="Reject","Rejected",IF(F164="Defer","Deferred",IF(F164="Needs evidence","Evidence Required","Pending"))))))</x:f>
        <x:v>Approved</x:v>
      </x:c>
      <x:c r="J164" s="107" t="str">
        <x:v>Critical</x:v>
      </x:c>
      <x:c r="K164" s="110" t="str">
        <x:v>Design Custodian + Presentation / Document QA</x:v>
      </x:c>
      <x:c r="L164" s="110"/>
      <x:c r="M164" s="108" t="str">
        <x:v>No</x:v>
      </x:c>
      <x:c r="N164" s="108" t="str"/>
      <x:c r="O164" s="108" t="str">
        <x:v>V2 guideline + V1 archive</x:v>
      </x:c>
      <x:c r="P164" s="108" t="str">
        <x:v>SRC-01, SRC-03</x:v>
      </x:c>
      <x:c r="Q164" s="108" t="str"/>
      <x:c r="R164" s="108" t="str">
        <x:v>08 — Typography</x:v>
      </x:c>
      <x:c r="S164" s="110" t="str">
        <x:v>ChatGPT prefill · 06 Oct 2026</x:v>
      </x:c>
    </x:row>
    <x:row r="165" ht="36" customHeight="1">
      <x:c r="A165" s="107" t="str">
        <x:v>L08</x:v>
      </x:c>
      <x:c r="B165" s="107" t="str">
        <x:v>Latin typography</x:v>
      </x:c>
      <x:c r="C165" s="107" t="str">
        <x:v>Brand decision</x:v>
      </x:c>
      <x:c r="D165" s="108" t="str">
        <x:v>Maximum weights per composition</x:v>
      </x:c>
      <x:c r="E165" s="108" t="str">
        <x:v>Two</x:v>
      </x:c>
      <x:c r="F165" s="109" t="str">
        <x:v>Approve recommendation</x:v>
      </x:c>
      <x:c r="G165" s="110"/>
      <x:c r="H165" s="108" t="str">
        <x:f>IF(F165="Approve recommendation",E165,IF(F165="Modify / custom answer",G165,IF(F165="Reject","Rejected",IF(F165="Defer","Deferred",IF(F165="Needs evidence","Pending evidence","")))))</x:f>
        <x:v>Two</x:v>
      </x:c>
      <x:c r="I165" s="107" t="str">
        <x:f>IF(F165="","Pending",IF(F165="Approve recommendation","Approved",IF(F165="Modify / custom answer",IF(G165="","Action Required","Approved with modification"),IF(F165="Reject","Rejected",IF(F165="Defer","Deferred",IF(F165="Needs evidence","Evidence Required","Pending"))))))</x:f>
        <x:v>Approved</x:v>
      </x:c>
      <x:c r="J165" s="107" t="str">
        <x:v>Critical</x:v>
      </x:c>
      <x:c r="K165" s="110" t="str">
        <x:v>Design Custodian + Presentation / Document QA</x:v>
      </x:c>
      <x:c r="L165" s="110"/>
      <x:c r="M165" s="108" t="str">
        <x:v>No</x:v>
      </x:c>
      <x:c r="N165" s="108" t="str"/>
      <x:c r="O165" s="108" t="str">
        <x:v>V2 guideline + V1 archive</x:v>
      </x:c>
      <x:c r="P165" s="108" t="str">
        <x:v>SRC-01, SRC-03</x:v>
      </x:c>
      <x:c r="Q165" s="108" t="str"/>
      <x:c r="R165" s="108" t="str">
        <x:v>08 — Typography</x:v>
      </x:c>
      <x:c r="S165" s="110" t="str">
        <x:v>ChatGPT prefill · 06 Oct 2026</x:v>
      </x:c>
    </x:row>
    <x:row r="166" ht="36" customHeight="1">
      <x:c r="A166" s="107" t="str">
        <x:v>L09</x:v>
      </x:c>
      <x:c r="B166" s="107" t="str">
        <x:v>Latin typography</x:v>
      </x:c>
      <x:c r="C166" s="107" t="str">
        <x:v>Brand decision</x:v>
      </x:c>
      <x:c r="D166" s="108" t="str">
        <x:v>Should the current generic display tracking rule (+300 to +800 / 0.3em to 0.8em) be replaced by calibrated style-specific values?</x:v>
      </x:c>
      <x:c r="E166" s="108" t="str">
        <x:v>Yes — define exact letter-spacing per Display / Tagline / Eyebrow / Label after visual QA; do not use 0.8em as a general rule.</x:v>
      </x:c>
      <x:c r="F166" s="109" t="str">
        <x:v>Modify / custom answer</x:v>
      </x:c>
      <x:c r="G166" s="110" t="str">
        <x:v>Replace the generic +300 to +800 rule with calibrated style values: Display XL ≈ 0.12em; Tagline ≈ 0.18em; Eyebrow ≈ 0.16em; small Label ≈ 0.08em; normal headings 0–0.02em. Final values require optical QA in the approved fonts/templates.</x:v>
      </x:c>
      <x:c r="H166" s="108" t="str">
        <x:f>IF(F166="Approve recommendation",E166,IF(F166="Modify / custom answer",G166,IF(F166="Reject","Rejected",IF(F166="Defer","Deferred",IF(F166="Needs evidence","Pending evidence","")))))</x:f>
        <x:v>Replace the generic +300 to +800 rule with calibrated style values: Display XL ≈ 0.12em; Tagline ≈ 0.18em; Eyebrow ≈ 0.16em; small Label ≈ 0.08em; normal headings 0–0.02em. Final values require optical QA in the approved fonts/templates.</x:v>
      </x:c>
      <x:c r="I166" s="107" t="str">
        <x:f>IF(F166="","Pending",IF(F166="Approve recommendation","Approved",IF(F166="Modify / custom answer",IF(G166="","Action Required","Approved with modification"),IF(F166="Reject","Rejected",IF(F166="Defer","Deferred",IF(F166="Needs evidence","Evidence Required","Pending"))))))</x:f>
        <x:v>Approved with modification</x:v>
      </x:c>
      <x:c r="J166" s="107" t="str">
        <x:v>Critical</x:v>
      </x:c>
      <x:c r="K166" s="110" t="str">
        <x:v>Design Custodian + Presentation / Document QA</x:v>
      </x:c>
      <x:c r="L166" s="110" t="str">
        <x:v>Calibrated values are a V3.0 starting standard based on design-system review; run optical QA in final templates before release.</x:v>
      </x:c>
      <x:c r="M166" s="108" t="str">
        <x:v>Yes</x:v>
      </x:c>
      <x:c r="N166" s="108" t="str">
        <x:v>Style-specific tracking values are visually tested in Jost at representative sizes and approved.</x:v>
      </x:c>
      <x:c r="O166" s="108" t="str">
        <x:v>GEM Design System v2.1 review</x:v>
      </x:c>
      <x:c r="P166" s="108" t="str">
        <x:v>SRC-04</x:v>
      </x:c>
      <x:c r="Q166" s="108" t="str"/>
      <x:c r="R166" s="108" t="str">
        <x:v>08 — Typography</x:v>
      </x:c>
      <x:c r="S166" s="110" t="str">
        <x:v>ChatGPT prefill · 06 Oct 2026</x:v>
      </x:c>
    </x:row>
    <x:row r="167" ht="36" customHeight="1">
      <x:c r="A167" s="107" t="str">
        <x:v>L10</x:v>
      </x:c>
      <x:c r="B167" s="107" t="str">
        <x:v>Latin typography</x:v>
      </x:c>
      <x:c r="C167" s="107" t="str">
        <x:v>Brand decision</x:v>
      </x:c>
      <x:c r="D167" s="108" t="str">
        <x:v>Body copy tracking remains normal?</x:v>
      </x:c>
      <x:c r="E167" s="108" t="str">
        <x:v>Yes</x:v>
      </x:c>
      <x:c r="F167" s="109" t="str">
        <x:v>Approve recommendation</x:v>
      </x:c>
      <x:c r="G167" s="110"/>
      <x:c r="H167" s="108" t="str">
        <x:f>IF(F167="Approve recommendation",E167,IF(F167="Modify / custom answer",G167,IF(F167="Reject","Rejected",IF(F167="Defer","Deferred",IF(F167="Needs evidence","Pending evidence","")))))</x:f>
        <x:v>Yes</x:v>
      </x:c>
      <x:c r="I167" s="107" t="str">
        <x:f>IF(F167="","Pending",IF(F167="Approve recommendation","Approved",IF(F167="Modify / custom answer",IF(G167="","Action Required","Approved with modification"),IF(F167="Reject","Rejected",IF(F167="Defer","Deferred",IF(F167="Needs evidence","Evidence Required","Pending"))))))</x:f>
        <x:v>Approved</x:v>
      </x:c>
      <x:c r="J167" s="107" t="str">
        <x:v>Critical</x:v>
      </x:c>
      <x:c r="K167" s="110" t="str">
        <x:v>Design Custodian + Presentation / Document QA</x:v>
      </x:c>
      <x:c r="L167" s="110"/>
      <x:c r="M167" s="108" t="str">
        <x:v>No</x:v>
      </x:c>
      <x:c r="N167" s="108" t="str"/>
      <x:c r="O167" s="108" t="str">
        <x:v>V2 guideline + V1 archive</x:v>
      </x:c>
      <x:c r="P167" s="108" t="str">
        <x:v>SRC-01, SRC-03</x:v>
      </x:c>
      <x:c r="Q167" s="108" t="str"/>
      <x:c r="R167" s="108" t="str">
        <x:v>08 — Typography</x:v>
      </x:c>
      <x:c r="S167" s="110" t="str">
        <x:v>ChatGPT prefill · 06 Oct 2026</x:v>
      </x:c>
    </x:row>
    <x:row r="168" ht="36" customHeight="1">
      <x:c r="A168" s="107" t="str">
        <x:v>L11</x:v>
      </x:c>
      <x:c r="B168" s="107" t="str">
        <x:v>Latin typography</x:v>
      </x:c>
      <x:c r="C168" s="107" t="str">
        <x:v>Brand decision</x:v>
      </x:c>
      <x:c r="D168" s="108" t="str">
        <x:v>Body measure target</x:v>
      </x:c>
      <x:c r="E168" s="108" t="str">
        <x:v>45–75 characters</x:v>
      </x:c>
      <x:c r="F168" s="109" t="str">
        <x:v>Approve recommendation</x:v>
      </x:c>
      <x:c r="G168" s="110"/>
      <x:c r="H168" s="108" t="str">
        <x:f>IF(F168="Approve recommendation",E168,IF(F168="Modify / custom answer",G168,IF(F168="Reject","Rejected",IF(F168="Defer","Deferred",IF(F168="Needs evidence","Pending evidence","")))))</x:f>
        <x:v>45–75 characters</x:v>
      </x:c>
      <x:c r="I168" s="107" t="str">
        <x:f>IF(F168="","Pending",IF(F168="Approve recommendation","Approved",IF(F168="Modify / custom answer",IF(G168="","Action Required","Approved with modification"),IF(F168="Reject","Rejected",IF(F168="Defer","Deferred",IF(F168="Needs evidence","Evidence Required","Pending"))))))</x:f>
        <x:v>Approved</x:v>
      </x:c>
      <x:c r="J168" s="107" t="str">
        <x:v>Critical</x:v>
      </x:c>
      <x:c r="K168" s="110" t="str">
        <x:v>Design Custodian + Presentation / Document QA</x:v>
      </x:c>
      <x:c r="L168" s="110"/>
      <x:c r="M168" s="108" t="str">
        <x:v>No</x:v>
      </x:c>
      <x:c r="N168" s="108" t="str"/>
      <x:c r="O168" s="108" t="str">
        <x:v>V2 guideline + V1 archive</x:v>
      </x:c>
      <x:c r="P168" s="108" t="str">
        <x:v>SRC-01, SRC-03</x:v>
      </x:c>
      <x:c r="Q168" s="108" t="str"/>
      <x:c r="R168" s="108" t="str">
        <x:v>08 — Typography</x:v>
      </x:c>
      <x:c r="S168" s="110" t="str">
        <x:v>ChatGPT prefill · 06 Oct 2026</x:v>
      </x:c>
    </x:row>
    <x:row r="169" ht="36" customHeight="1">
      <x:c r="A169" s="107" t="str">
        <x:v>L12</x:v>
      </x:c>
      <x:c r="B169" s="107" t="str">
        <x:v>Latin typography</x:v>
      </x:c>
      <x:c r="C169" s="107" t="str">
        <x:v>Brand decision</x:v>
      </x:c>
      <x:c r="D169" s="108" t="str">
        <x:v>Body line spacing standard</x:v>
      </x:c>
      <x:c r="E169" s="108" t="str">
        <x:v>1.6 line-height by default, with documented exceptions only where a component requires them.</x:v>
      </x:c>
      <x:c r="F169" s="109" t="str">
        <x:v>Approve recommendation</x:v>
      </x:c>
      <x:c r="G169" s="110"/>
      <x:c r="H169" s="108" t="str">
        <x:f>IF(F169="Approve recommendation",E169,IF(F169="Modify / custom answer",G169,IF(F169="Reject","Rejected",IF(F169="Defer","Deferred",IF(F169="Needs evidence","Pending evidence","")))))</x:f>
        <x:v>1.6 line-height by default, with documented exceptions only where a component requires them.</x:v>
      </x:c>
      <x:c r="I169" s="107" t="str">
        <x:f>IF(F169="","Pending",IF(F169="Approve recommendation","Approved",IF(F169="Modify / custom answer",IF(G169="","Action Required","Approved with modification"),IF(F169="Reject","Rejected",IF(F169="Defer","Deferred",IF(F169="Needs evidence","Evidence Required","Pending"))))))</x:f>
        <x:v>Approved</x:v>
      </x:c>
      <x:c r="J169" s="107" t="str">
        <x:v>Critical</x:v>
      </x:c>
      <x:c r="K169" s="110" t="str">
        <x:v>Design Custodian + Presentation / Document QA</x:v>
      </x:c>
      <x:c r="L169" s="110"/>
      <x:c r="M169" s="108" t="str">
        <x:v>No</x:v>
      </x:c>
      <x:c r="N169" s="108" t="str"/>
      <x:c r="O169" s="108" t="str">
        <x:v>GEM Design System v2.1</x:v>
      </x:c>
      <x:c r="P169" s="108" t="str">
        <x:v>SRC-04</x:v>
      </x:c>
      <x:c r="Q169" s="108" t="str"/>
      <x:c r="R169" s="108" t="str">
        <x:v>08 — Typography</x:v>
      </x:c>
      <x:c r="S169" s="110" t="str">
        <x:v>ChatGPT prefill · 06 Oct 2026</x:v>
      </x:c>
    </x:row>
    <x:row r="170" ht="36" customHeight="1">
      <x:c r="A170" s="107" t="str">
        <x:v>L13</x:v>
      </x:c>
      <x:c r="B170" s="107" t="str">
        <x:v>Latin typography</x:v>
      </x:c>
      <x:c r="C170" s="107" t="str">
        <x:v>Brand decision</x:v>
      </x:c>
      <x:c r="D170" s="108" t="str">
        <x:v>Default body alignment</x:v>
      </x:c>
      <x:c r="E170" s="108" t="str">
        <x:v>Left-aligned</x:v>
      </x:c>
      <x:c r="F170" s="109" t="str">
        <x:v>Approve recommendation</x:v>
      </x:c>
      <x:c r="G170" s="110"/>
      <x:c r="H170" s="108" t="str">
        <x:f>IF(F170="Approve recommendation",E170,IF(F170="Modify / custom answer",G170,IF(F170="Reject","Rejected",IF(F170="Defer","Deferred",IF(F170="Needs evidence","Pending evidence","")))))</x:f>
        <x:v>Left-aligned</x:v>
      </x:c>
      <x:c r="I170" s="107" t="str">
        <x:f>IF(F170="","Pending",IF(F170="Approve recommendation","Approved",IF(F170="Modify / custom answer",IF(G170="","Action Required","Approved with modification"),IF(F170="Reject","Rejected",IF(F170="Defer","Deferred",IF(F170="Needs evidence","Evidence Required","Pending"))))))</x:f>
        <x:v>Approved</x:v>
      </x:c>
      <x:c r="J170" s="107" t="str">
        <x:v>Critical</x:v>
      </x:c>
      <x:c r="K170" s="110" t="str">
        <x:v>Design Custodian + Presentation / Document QA</x:v>
      </x:c>
      <x:c r="L170" s="110"/>
      <x:c r="M170" s="108" t="str">
        <x:v>No</x:v>
      </x:c>
      <x:c r="N170" s="108" t="str"/>
      <x:c r="O170" s="108" t="str">
        <x:v>V2 guideline + V1 archive</x:v>
      </x:c>
      <x:c r="P170" s="108" t="str">
        <x:v>SRC-01, SRC-03</x:v>
      </x:c>
      <x:c r="Q170" s="108" t="str"/>
      <x:c r="R170" s="108" t="str">
        <x:v>08 — Typography</x:v>
      </x:c>
      <x:c r="S170" s="110" t="str">
        <x:v>ChatGPT prefill · 06 Oct 2026</x:v>
      </x:c>
    </x:row>
    <x:row r="171" ht="36" customHeight="1">
      <x:c r="A171" s="107" t="str">
        <x:v>L14</x:v>
      </x:c>
      <x:c r="B171" s="107" t="str">
        <x:v>Latin typography</x:v>
      </x:c>
      <x:c r="C171" s="107" t="str">
        <x:v>Brand decision</x:v>
      </x:c>
      <x:c r="D171" s="108" t="str">
        <x:v>Forced justification</x:v>
      </x:c>
      <x:c r="E171" s="108" t="str">
        <x:v>Prohibited</x:v>
      </x:c>
      <x:c r="F171" s="109" t="str">
        <x:v>Approve recommendation</x:v>
      </x:c>
      <x:c r="G171" s="110"/>
      <x:c r="H171" s="108" t="str">
        <x:f>IF(F171="Approve recommendation",E171,IF(F171="Modify / custom answer",G171,IF(F171="Reject","Rejected",IF(F171="Defer","Deferred",IF(F171="Needs evidence","Pending evidence","")))))</x:f>
        <x:v>Prohibited</x:v>
      </x:c>
      <x:c r="I171" s="107" t="str">
        <x:f>IF(F171="","Pending",IF(F171="Approve recommendation","Approved",IF(F171="Modify / custom answer",IF(G171="","Action Required","Approved with modification"),IF(F171="Reject","Rejected",IF(F171="Defer","Deferred",IF(F171="Needs evidence","Evidence Required","Pending"))))))</x:f>
        <x:v>Approved</x:v>
      </x:c>
      <x:c r="J171" s="107" t="str">
        <x:v>Critical</x:v>
      </x:c>
      <x:c r="K171" s="110" t="str">
        <x:v>Design Custodian + Presentation / Document QA</x:v>
      </x:c>
      <x:c r="L171" s="110"/>
      <x:c r="M171" s="108" t="str">
        <x:v>No</x:v>
      </x:c>
      <x:c r="N171" s="108" t="str"/>
      <x:c r="O171" s="108" t="str">
        <x:v>V2 guideline + V1 archive</x:v>
      </x:c>
      <x:c r="P171" s="108" t="str">
        <x:v>SRC-01, SRC-03</x:v>
      </x:c>
      <x:c r="Q171" s="108" t="str"/>
      <x:c r="R171" s="108" t="str">
        <x:v>08 — Typography</x:v>
      </x:c>
      <x:c r="S171" s="110" t="str">
        <x:v>ChatGPT prefill · 06 Oct 2026</x:v>
      </x:c>
    </x:row>
    <x:row r="172" ht="36" customHeight="1">
      <x:c r="A172" s="107" t="str">
        <x:v>L15</x:v>
      </x:c>
      <x:c r="B172" s="107" t="str">
        <x:v>Latin typography</x:v>
      </x:c>
      <x:c r="C172" s="107" t="str">
        <x:v>Brand decision</x:v>
      </x:c>
      <x:c r="D172" s="108" t="str">
        <x:v>Decorative serif/script fonts</x:v>
      </x:c>
      <x:c r="E172" s="108" t="str">
        <x:v>Prohibited</x:v>
      </x:c>
      <x:c r="F172" s="109" t="str">
        <x:v>Approve recommendation</x:v>
      </x:c>
      <x:c r="G172" s="110"/>
      <x:c r="H172" s="108" t="str">
        <x:f>IF(F172="Approve recommendation",E172,IF(F172="Modify / custom answer",G172,IF(F172="Reject","Rejected",IF(F172="Defer","Deferred",IF(F172="Needs evidence","Pending evidence","")))))</x:f>
        <x:v>Prohibited</x:v>
      </x:c>
      <x:c r="I172" s="107" t="str">
        <x:f>IF(F172="","Pending",IF(F172="Approve recommendation","Approved",IF(F172="Modify / custom answer",IF(G172="","Action Required","Approved with modification"),IF(F172="Reject","Rejected",IF(F172="Defer","Deferred",IF(F172="Needs evidence","Evidence Required","Pending"))))))</x:f>
        <x:v>Approved</x:v>
      </x:c>
      <x:c r="J172" s="107" t="str">
        <x:v>Critical</x:v>
      </x:c>
      <x:c r="K172" s="110" t="str">
        <x:v>Design Custodian + Presentation / Document QA</x:v>
      </x:c>
      <x:c r="L172" s="110"/>
      <x:c r="M172" s="108" t="str">
        <x:v>No</x:v>
      </x:c>
      <x:c r="N172" s="108" t="str"/>
      <x:c r="O172" s="108" t="str">
        <x:v>V2 guideline + V1 archive</x:v>
      </x:c>
      <x:c r="P172" s="108" t="str">
        <x:v>SRC-01, SRC-03</x:v>
      </x:c>
      <x:c r="Q172" s="108" t="str"/>
      <x:c r="R172" s="108" t="str">
        <x:v>08 — Typography</x:v>
      </x:c>
      <x:c r="S172" s="110" t="str">
        <x:v>ChatGPT prefill · 06 Oct 2026</x:v>
      </x:c>
    </x:row>
    <x:row r="173" ht="36" customHeight="1">
      <x:c r="A173" s="107" t="str">
        <x:v>L16</x:v>
      </x:c>
      <x:c r="B173" s="107" t="str">
        <x:v>Latin typography</x:v>
      </x:c>
      <x:c r="C173" s="107" t="str">
        <x:v>Brand decision</x:v>
      </x:c>
      <x:c r="D173" s="108" t="str">
        <x:v>Wordmark recreated with a font</x:v>
      </x:c>
      <x:c r="E173" s="108" t="str">
        <x:v>Prohibited</x:v>
      </x:c>
      <x:c r="F173" s="109" t="str">
        <x:v>Approve recommendation</x:v>
      </x:c>
      <x:c r="G173" s="110"/>
      <x:c r="H173" s="108" t="str">
        <x:f>IF(F173="Approve recommendation",E173,IF(F173="Modify / custom answer",G173,IF(F173="Reject","Rejected",IF(F173="Defer","Deferred",IF(F173="Needs evidence","Pending evidence","")))))</x:f>
        <x:v>Prohibited</x:v>
      </x:c>
      <x:c r="I173" s="107" t="str">
        <x:f>IF(F173="","Pending",IF(F173="Approve recommendation","Approved",IF(F173="Modify / custom answer",IF(G173="","Action Required","Approved with modification"),IF(F173="Reject","Rejected",IF(F173="Defer","Deferred",IF(F173="Needs evidence","Evidence Required","Pending"))))))</x:f>
        <x:v>Approved</x:v>
      </x:c>
      <x:c r="J173" s="107" t="str">
        <x:v>Critical</x:v>
      </x:c>
      <x:c r="K173" s="110" t="str">
        <x:v>Design Custodian + Presentation / Document QA</x:v>
      </x:c>
      <x:c r="L173" s="110"/>
      <x:c r="M173" s="108" t="str">
        <x:v>No</x:v>
      </x:c>
      <x:c r="N173" s="108" t="str"/>
      <x:c r="O173" s="108" t="str">
        <x:v>V2 guideline + V1 archive</x:v>
      </x:c>
      <x:c r="P173" s="108" t="str">
        <x:v>SRC-01, SRC-03</x:v>
      </x:c>
      <x:c r="Q173" s="108" t="str"/>
      <x:c r="R173" s="108" t="str">
        <x:v>08 — Typography</x:v>
      </x:c>
      <x:c r="S173" s="110" t="str">
        <x:v>ChatGPT prefill · 06 Oct 2026</x:v>
      </x:c>
    </x:row>
    <x:row r="174" ht="36" customHeight="1">
      <x:c r="A174" s="107" t="str">
        <x:v>M01</x:v>
      </x:c>
      <x:c r="B174" s="107" t="str">
        <x:v>Arabic typography and bilingual system</x:v>
      </x:c>
      <x:c r="C174" s="107" t="str">
        <x:v>Decision + evidence</x:v>
      </x:c>
      <x:c r="D174" s="108" t="str">
        <x:v>What is the Arabic release status for V3.0?</x:v>
      </x:c>
      <x:c r="E174" s="108" t="str">
        <x:v>Either fully approve Arabic after native localization/RTL QA, or publish it as clearly Deferred / Pending Validation — not as an implied production-ready system.</x:v>
      </x:c>
      <x:c r="F174" s="109" t="str">
        <x:v>Modify / custom answer</x:v>
      </x:c>
      <x:c r="G174" s="110" t="str">
        <x:v>Arabic is required in V3.0 for Saudi/GCC use, but its release status remains PENDING VALIDATION until native RTL, localization, mixed-language and accessibility QA passes.</x:v>
      </x:c>
      <x:c r="H174" s="108" t="str">
        <x:f>IF(F174="Approve recommendation",E174,IF(F174="Modify / custom answer",G174,IF(F174="Reject","Rejected",IF(F174="Defer","Deferred",IF(F174="Needs evidence","Pending evidence","")))))</x:f>
        <x:v>Arabic is required in V3.0 for Saudi/GCC use, but its release status remains PENDING VALIDATION until native RTL, localization, mixed-language and accessibility QA passes.</x:v>
      </x:c>
      <x:c r="I174" s="107" t="str">
        <x:f>IF(F174="","Pending",IF(F174="Approve recommendation","Approved",IF(F174="Modify / custom answer",IF(G174="","Action Required","Approved with modification"),IF(F174="Reject","Rejected",IF(F174="Defer","Deferred",IF(F174="Needs evidence","Evidence Required","Pending"))))))</x:f>
        <x:v>Approved with modification</x:v>
      </x:c>
      <x:c r="J174" s="107" t="str">
        <x:v>Critical</x:v>
      </x:c>
      <x:c r="K174" s="110" t="str">
        <x:v>Arabic / Localization Lead + Brand Owner + Accessibility QA</x:v>
      </x:c>
      <x:c r="L174" s="110" t="str">
        <x:v>Saudi/GCC context makes Arabic part of V3.0 scope, but source material explicitly treats Arabic as not yet production-ready.</x:v>
      </x:c>
      <x:c r="M174" s="108" t="str">
        <x:v>Yes</x:v>
      </x:c>
      <x:c r="N174" s="108" t="str">
        <x:v>Arabic is either signed off after native QA or explicitly excluded/deferred from the production release.</x:v>
      </x:c>
      <x:c r="O174" s="108" t="str">
        <x:v>GEM Design System v2.1 + V2 audit</x:v>
      </x:c>
      <x:c r="P174" s="108" t="str">
        <x:v>SRC-04, SRC-02</x:v>
      </x:c>
      <x:c r="Q174" s="108" t="str"/>
      <x:c r="R174" s="108" t="str">
        <x:v>09 — Arabic &amp; Bilingual System</x:v>
      </x:c>
      <x:c r="S174" s="110" t="str">
        <x:v>ChatGPT prefill · 06 Oct 2026</x:v>
      </x:c>
    </x:row>
    <x:row r="175" ht="36" customHeight="1">
      <x:c r="A175" s="107" t="str">
        <x:v>M02</x:v>
      </x:c>
      <x:c r="B175" s="107" t="str">
        <x:v>Arabic typography and bilingual system</x:v>
      </x:c>
      <x:c r="C175" s="107" t="str">
        <x:v>Brand decision</x:v>
      </x:c>
      <x:c r="D175" s="108" t="str">
        <x:v>Interim Arabic family</x:v>
      </x:c>
      <x:c r="E175" s="108" t="str">
        <x:v>Noto Sans Arabic unless another family is selected and licensed</x:v>
      </x:c>
      <x:c r="F175" s="109" t="str">
        <x:v>Approve recommendation</x:v>
      </x:c>
      <x:c r="G175" s="110"/>
      <x:c r="H175" s="108" t="str">
        <x:f>IF(F175="Approve recommendation",E175,IF(F175="Modify / custom answer",G175,IF(F175="Reject","Rejected",IF(F175="Defer","Deferred",IF(F175="Needs evidence","Pending evidence","")))))</x:f>
        <x:v>Noto Sans Arabic unless another family is selected and licensed</x:v>
      </x:c>
      <x:c r="I175" s="107" t="str">
        <x:f>IF(F175="","Pending",IF(F175="Approve recommendation","Approved",IF(F175="Modify / custom answer",IF(G175="","Action Required","Approved with modification"),IF(F175="Reject","Rejected",IF(F175="Defer","Deferred",IF(F175="Needs evidence","Evidence Required","Pending"))))))</x:f>
        <x:v>Approved</x:v>
      </x:c>
      <x:c r="J175" s="107" t="str">
        <x:v>Critical</x:v>
      </x:c>
      <x:c r="K175" s="110" t="str">
        <x:v>Arabic / Localization Lead + Brand Owner</x:v>
      </x:c>
      <x:c r="L175" s="110"/>
      <x:c r="M175" s="108" t="str">
        <x:v>Yes</x:v>
      </x:c>
      <x:c r="N175" s="108" t="str"/>
      <x:c r="O175" s="108" t="str">
        <x:v>V2 audit</x:v>
      </x:c>
      <x:c r="P175" s="108" t="str">
        <x:v>SRC-02</x:v>
      </x:c>
      <x:c r="Q175" s="108" t="str"/>
      <x:c r="R175" s="108" t="str">
        <x:v>09 — Arabic &amp; Bilingual System</x:v>
      </x:c>
      <x:c r="S175" s="110" t="str">
        <x:v>ChatGPT prefill · 06 Oct 2026</x:v>
      </x:c>
    </x:row>
    <x:row r="176" ht="36" customHeight="1">
      <x:c r="A176" s="107" t="str">
        <x:v>M03</x:v>
      </x:c>
      <x:c r="B176" s="107" t="str">
        <x:v>Arabic typography and bilingual system</x:v>
      </x:c>
      <x:c r="C176" s="107" t="str">
        <x:v>Brand decision</x:v>
      </x:c>
      <x:c r="D176" s="108" t="str">
        <x:v>Should a premium Arabic brand typeface be evaluated before final release?</x:v>
      </x:c>
      <x:c r="E176" s="108" t="str">
        <x:v>Yes</x:v>
      </x:c>
      <x:c r="F176" s="109" t="str">
        <x:v>Approve recommendation</x:v>
      </x:c>
      <x:c r="G176" s="110"/>
      <x:c r="H176" s="108" t="str">
        <x:f>IF(F176="Approve recommendation",E176,IF(F176="Modify / custom answer",G176,IF(F176="Reject","Rejected",IF(F176="Defer","Deferred",IF(F176="Needs evidence","Pending evidence","")))))</x:f>
        <x:v>Yes</x:v>
      </x:c>
      <x:c r="I176" s="107" t="str">
        <x:f>IF(F176="","Pending",IF(F176="Approve recommendation","Approved",IF(F176="Modify / custom answer",IF(G176="","Action Required","Approved with modification"),IF(F176="Reject","Rejected",IF(F176="Defer","Deferred",IF(F176="Needs evidence","Evidence Required","Pending"))))))</x:f>
        <x:v>Approved</x:v>
      </x:c>
      <x:c r="J176" s="107" t="str">
        <x:v>Critical</x:v>
      </x:c>
      <x:c r="K176" s="110" t="str">
        <x:v>Arabic / Localization Lead + Brand Owner</x:v>
      </x:c>
      <x:c r="L176" s="110"/>
      <x:c r="M176" s="108" t="str">
        <x:v>No</x:v>
      </x:c>
      <x:c r="N176" s="108" t="str"/>
      <x:c r="O176" s="108" t="str">
        <x:v>V2 audit</x:v>
      </x:c>
      <x:c r="P176" s="108" t="str">
        <x:v>SRC-02</x:v>
      </x:c>
      <x:c r="Q176" s="108" t="str"/>
      <x:c r="R176" s="108" t="str">
        <x:v>09 — Arabic &amp; Bilingual System</x:v>
      </x:c>
      <x:c r="S176" s="110" t="str">
        <x:v>ChatGPT prefill · 06 Oct 2026</x:v>
      </x:c>
    </x:row>
    <x:row r="177" ht="36" customHeight="1">
      <x:c r="A177" s="107" t="str">
        <x:v>M04</x:v>
      </x:c>
      <x:c r="B177" s="107" t="str">
        <x:v>Arabic typography and bilingual system</x:v>
      </x:c>
      <x:c r="C177" s="107" t="str">
        <x:v>Brand decision</x:v>
      </x:c>
      <x:c r="D177" s="108" t="str">
        <x:v>Should Arabic receive its own hierarchy specs?</x:v>
      </x:c>
      <x:c r="E177" s="108" t="str">
        <x:v>Yes</x:v>
      </x:c>
      <x:c r="F177" s="109" t="str">
        <x:v>Approve recommendation</x:v>
      </x:c>
      <x:c r="G177" s="110"/>
      <x:c r="H177" s="108" t="str">
        <x:f>IF(F177="Approve recommendation",E177,IF(F177="Modify / custom answer",G177,IF(F177="Reject","Rejected",IF(F177="Defer","Deferred",IF(F177="Needs evidence","Pending evidence","")))))</x:f>
        <x:v>Yes</x:v>
      </x:c>
      <x:c r="I177" s="107" t="str">
        <x:f>IF(F177="","Pending",IF(F177="Approve recommendation","Approved",IF(F177="Modify / custom answer",IF(G177="","Action Required","Approved with modification"),IF(F177="Reject","Rejected",IF(F177="Defer","Deferred",IF(F177="Needs evidence","Evidence Required","Pending"))))))</x:f>
        <x:v>Approved</x:v>
      </x:c>
      <x:c r="J177" s="107" t="str">
        <x:v>Critical</x:v>
      </x:c>
      <x:c r="K177" s="110" t="str">
        <x:v>Arabic / Localization Lead + Brand Owner</x:v>
      </x:c>
      <x:c r="L177" s="110"/>
      <x:c r="M177" s="108" t="str">
        <x:v>No</x:v>
      </x:c>
      <x:c r="N177" s="108" t="str"/>
      <x:c r="O177" s="108" t="str">
        <x:v>V2 audit</x:v>
      </x:c>
      <x:c r="P177" s="108" t="str">
        <x:v>SRC-02</x:v>
      </x:c>
      <x:c r="Q177" s="108" t="str"/>
      <x:c r="R177" s="108" t="str">
        <x:v>09 — Arabic &amp; Bilingual System</x:v>
      </x:c>
      <x:c r="S177" s="110" t="str">
        <x:v>ChatGPT prefill · 06 Oct 2026</x:v>
      </x:c>
    </x:row>
    <x:row r="178" ht="36" customHeight="1">
      <x:c r="A178" s="107" t="str">
        <x:v>M05</x:v>
      </x:c>
      <x:c r="B178" s="107" t="str">
        <x:v>Arabic typography and bilingual system</x:v>
      </x:c>
      <x:c r="C178" s="107" t="str">
        <x:v>Brand decision</x:v>
      </x:c>
      <x:c r="D178" s="108" t="str">
        <x:v>Apply Latin tracking to Arabic?</x:v>
      </x:c>
      <x:c r="E178" s="108" t="str">
        <x:v>No</x:v>
      </x:c>
      <x:c r="F178" s="109" t="str">
        <x:v>Approve recommendation</x:v>
      </x:c>
      <x:c r="G178" s="110"/>
      <x:c r="H178" s="108" t="str">
        <x:f>IF(F178="Approve recommendation",E178,IF(F178="Modify / custom answer",G178,IF(F178="Reject","Rejected",IF(F178="Defer","Deferred",IF(F178="Needs evidence","Pending evidence","")))))</x:f>
        <x:v>No</x:v>
      </x:c>
      <x:c r="I178" s="107" t="str">
        <x:f>IF(F178="","Pending",IF(F178="Approve recommendation","Approved",IF(F178="Modify / custom answer",IF(G178="","Action Required","Approved with modification"),IF(F178="Reject","Rejected",IF(F178="Defer","Deferred",IF(F178="Needs evidence","Evidence Required","Pending"))))))</x:f>
        <x:v>Approved</x:v>
      </x:c>
      <x:c r="J178" s="107" t="str">
        <x:v>Critical</x:v>
      </x:c>
      <x:c r="K178" s="110" t="str">
        <x:v>Arabic / Localization Lead + Brand Owner</x:v>
      </x:c>
      <x:c r="L178" s="110"/>
      <x:c r="M178" s="108" t="str">
        <x:v>No</x:v>
      </x:c>
      <x:c r="N178" s="108" t="str"/>
      <x:c r="O178" s="108" t="str">
        <x:v>V2 audit</x:v>
      </x:c>
      <x:c r="P178" s="108" t="str">
        <x:v>SRC-02</x:v>
      </x:c>
      <x:c r="Q178" s="108" t="str"/>
      <x:c r="R178" s="108" t="str">
        <x:v>09 — Arabic &amp; Bilingual System</x:v>
      </x:c>
      <x:c r="S178" s="110" t="str">
        <x:v>ChatGPT prefill · 06 Oct 2026</x:v>
      </x:c>
    </x:row>
    <x:row r="179" ht="36" customHeight="1">
      <x:c r="A179" s="107" t="str">
        <x:v>M06</x:v>
      </x:c>
      <x:c r="B179" s="107" t="str">
        <x:v>Arabic typography and bilingual system</x:v>
      </x:c>
      <x:c r="C179" s="107" t="str">
        <x:v>Brand decision</x:v>
      </x:c>
      <x:c r="D179" s="108" t="str">
        <x:v>Use true RTL text flow?</x:v>
      </x:c>
      <x:c r="E179" s="108" t="str">
        <x:v>Yes</x:v>
      </x:c>
      <x:c r="F179" s="109" t="str">
        <x:v>Approve recommendation</x:v>
      </x:c>
      <x:c r="G179" s="110"/>
      <x:c r="H179" s="108" t="str">
        <x:f>IF(F179="Approve recommendation",E179,IF(F179="Modify / custom answer",G179,IF(F179="Reject","Rejected",IF(F179="Defer","Deferred",IF(F179="Needs evidence","Pending evidence","")))))</x:f>
        <x:v>Yes</x:v>
      </x:c>
      <x:c r="I179" s="107" t="str">
        <x:f>IF(F179="","Pending",IF(F179="Approve recommendation","Approved",IF(F179="Modify / custom answer",IF(G179="","Action Required","Approved with modification"),IF(F179="Reject","Rejected",IF(F179="Defer","Deferred",IF(F179="Needs evidence","Evidence Required","Pending"))))))</x:f>
        <x:v>Approved</x:v>
      </x:c>
      <x:c r="J179" s="107" t="str">
        <x:v>Critical</x:v>
      </x:c>
      <x:c r="K179" s="110" t="str">
        <x:v>Arabic / Localization Lead + Brand Owner</x:v>
      </x:c>
      <x:c r="L179" s="110"/>
      <x:c r="M179" s="108" t="str">
        <x:v>No</x:v>
      </x:c>
      <x:c r="N179" s="108" t="str"/>
      <x:c r="O179" s="108" t="str">
        <x:v>V2 audit</x:v>
      </x:c>
      <x:c r="P179" s="108" t="str">
        <x:v>SRC-02</x:v>
      </x:c>
      <x:c r="Q179" s="108" t="str"/>
      <x:c r="R179" s="108" t="str">
        <x:v>09 — Arabic &amp; Bilingual System</x:v>
      </x:c>
      <x:c r="S179" s="110" t="str">
        <x:v>ChatGPT prefill · 06 Oct 2026</x:v>
      </x:c>
    </x:row>
    <x:row r="180" ht="36" customHeight="1">
      <x:c r="A180" s="107" t="str">
        <x:v>M07</x:v>
      </x:c>
      <x:c r="B180" s="107" t="str">
        <x:v>Arabic typography and bilingual system</x:v>
      </x:c>
      <x:c r="C180" s="107" t="str">
        <x:v>Brand decision</x:v>
      </x:c>
      <x:c r="D180" s="108" t="str">
        <x:v>Mirror page composition for Arabic?</x:v>
      </x:c>
      <x:c r="E180" s="108" t="str">
        <x:v>Where semantically appropriate</x:v>
      </x:c>
      <x:c r="F180" s="109" t="str">
        <x:v>Approve recommendation</x:v>
      </x:c>
      <x:c r="G180" s="110"/>
      <x:c r="H180" s="108" t="str">
        <x:f>IF(F180="Approve recommendation",E180,IF(F180="Modify / custom answer",G180,IF(F180="Reject","Rejected",IF(F180="Defer","Deferred",IF(F180="Needs evidence","Pending evidence","")))))</x:f>
        <x:v>Where semantically appropriate</x:v>
      </x:c>
      <x:c r="I180" s="107" t="str">
        <x:f>IF(F180="","Pending",IF(F180="Approve recommendation","Approved",IF(F180="Modify / custom answer",IF(G180="","Action Required","Approved with modification"),IF(F180="Reject","Rejected",IF(F180="Defer","Deferred",IF(F180="Needs evidence","Evidence Required","Pending"))))))</x:f>
        <x:v>Approved</x:v>
      </x:c>
      <x:c r="J180" s="107" t="str">
        <x:v>Critical</x:v>
      </x:c>
      <x:c r="K180" s="110" t="str">
        <x:v>Arabic / Localization Lead + Brand Owner</x:v>
      </x:c>
      <x:c r="L180" s="110"/>
      <x:c r="M180" s="108" t="str">
        <x:v>No</x:v>
      </x:c>
      <x:c r="N180" s="108" t="str"/>
      <x:c r="O180" s="108" t="str">
        <x:v>V2 audit</x:v>
      </x:c>
      <x:c r="P180" s="108" t="str">
        <x:v>SRC-02</x:v>
      </x:c>
      <x:c r="Q180" s="108" t="str"/>
      <x:c r="R180" s="108" t="str">
        <x:v>09 — Arabic &amp; Bilingual System</x:v>
      </x:c>
      <x:c r="S180" s="110" t="str">
        <x:v>ChatGPT prefill · 06 Oct 2026</x:v>
      </x:c>
    </x:row>
    <x:row r="181" ht="36" customHeight="1">
      <x:c r="A181" s="107" t="str">
        <x:v>M08</x:v>
      </x:c>
      <x:c r="B181" s="107" t="str">
        <x:v>Arabic typography and bilingual system</x:v>
      </x:c>
      <x:c r="C181" s="107" t="str">
        <x:v>Brand decision</x:v>
      </x:c>
      <x:c r="D181" s="108" t="str">
        <x:v>Mirror the GEM logo/symbol?</x:v>
      </x:c>
      <x:c r="E181" s="108" t="str">
        <x:v>Never</x:v>
      </x:c>
      <x:c r="F181" s="109" t="str">
        <x:v>Approve recommendation</x:v>
      </x:c>
      <x:c r="G181" s="110"/>
      <x:c r="H181" s="108" t="str">
        <x:f>IF(F181="Approve recommendation",E181,IF(F181="Modify / custom answer",G181,IF(F181="Reject","Rejected",IF(F181="Defer","Deferred",IF(F181="Needs evidence","Pending evidence","")))))</x:f>
        <x:v>Never</x:v>
      </x:c>
      <x:c r="I181" s="107" t="str">
        <x:f>IF(F181="","Pending",IF(F181="Approve recommendation","Approved",IF(F181="Modify / custom answer",IF(G181="","Action Required","Approved with modification"),IF(F181="Reject","Rejected",IF(F181="Defer","Deferred",IF(F181="Needs evidence","Evidence Required","Pending"))))))</x:f>
        <x:v>Approved</x:v>
      </x:c>
      <x:c r="J181" s="107" t="str">
        <x:v>Critical</x:v>
      </x:c>
      <x:c r="K181" s="110" t="str">
        <x:v>Arabic / Localization Lead + Brand Owner</x:v>
      </x:c>
      <x:c r="L181" s="110"/>
      <x:c r="M181" s="108" t="str">
        <x:v>No</x:v>
      </x:c>
      <x:c r="N181" s="108" t="str"/>
      <x:c r="O181" s="108" t="str">
        <x:v>V2 audit</x:v>
      </x:c>
      <x:c r="P181" s="108" t="str">
        <x:v>SRC-02</x:v>
      </x:c>
      <x:c r="Q181" s="108" t="str"/>
      <x:c r="R181" s="108" t="str">
        <x:v>09 — Arabic &amp; Bilingual System</x:v>
      </x:c>
      <x:c r="S181" s="110" t="str">
        <x:v>ChatGPT prefill · 06 Oct 2026</x:v>
      </x:c>
    </x:row>
    <x:row r="182" ht="36" customHeight="1">
      <x:c r="A182" s="107" t="str">
        <x:v>M09</x:v>
      </x:c>
      <x:c r="B182" s="107" t="str">
        <x:v>Arabic typography and bilingual system</x:v>
      </x:c>
      <x:c r="C182" s="107" t="str">
        <x:v>Brand decision</x:v>
      </x:c>
      <x:c r="D182" s="108" t="str">
        <x:v>Translate product names?</x:v>
      </x:c>
      <x:c r="E182" s="108" t="str">
        <x:v>Define case-by-case</x:v>
      </x:c>
      <x:c r="F182" s="109" t="str">
        <x:v>Approve recommendation</x:v>
      </x:c>
      <x:c r="G182" s="110"/>
      <x:c r="H182" s="108" t="str">
        <x:f>IF(F182="Approve recommendation",E182,IF(F182="Modify / custom answer",G182,IF(F182="Reject","Rejected",IF(F182="Defer","Deferred",IF(F182="Needs evidence","Pending evidence","")))))</x:f>
        <x:v>Define case-by-case</x:v>
      </x:c>
      <x:c r="I182" s="107" t="str">
        <x:f>IF(F182="","Pending",IF(F182="Approve recommendation","Approved",IF(F182="Modify / custom answer",IF(G182="","Action Required","Approved with modification"),IF(F182="Reject","Rejected",IF(F182="Defer","Deferred",IF(F182="Needs evidence","Evidence Required","Pending"))))))</x:f>
        <x:v>Approved</x:v>
      </x:c>
      <x:c r="J182" s="107" t="str">
        <x:v>Critical</x:v>
      </x:c>
      <x:c r="K182" s="110" t="str">
        <x:v>Arabic / Localization Lead + Brand Owner</x:v>
      </x:c>
      <x:c r="L182" s="110"/>
      <x:c r="M182" s="108" t="str">
        <x:v>No</x:v>
      </x:c>
      <x:c r="N182" s="108" t="str"/>
      <x:c r="O182" s="108" t="str">
        <x:v>V2 audit</x:v>
      </x:c>
      <x:c r="P182" s="108" t="str">
        <x:v>SRC-02</x:v>
      </x:c>
      <x:c r="Q182" s="108" t="str"/>
      <x:c r="R182" s="108" t="str">
        <x:v>09 — Arabic &amp; Bilingual System</x:v>
      </x:c>
      <x:c r="S182" s="110" t="str">
        <x:v>ChatGPT prefill · 06 Oct 2026</x:v>
      </x:c>
    </x:row>
    <x:row r="183" ht="36" customHeight="1">
      <x:c r="A183" s="107" t="str">
        <x:v>M10</x:v>
      </x:c>
      <x:c r="B183" s="107" t="str">
        <x:v>Arabic typography and bilingual system</x:v>
      </x:c>
      <x:c r="C183" s="107" t="str">
        <x:v>Brand decision</x:v>
      </x:c>
      <x:c r="D183" s="108" t="str">
        <x:v>Translation of brand tagline</x:v>
      </x:c>
      <x:c r="E183" s="108" t="str">
        <x:v>Requires explicit brand approval</x:v>
      </x:c>
      <x:c r="F183" s="109" t="str">
        <x:v>Approve recommendation</x:v>
      </x:c>
      <x:c r="G183" s="110"/>
      <x:c r="H183" s="108" t="str">
        <x:f>IF(F183="Approve recommendation",E183,IF(F183="Modify / custom answer",G183,IF(F183="Reject","Rejected",IF(F183="Defer","Deferred",IF(F183="Needs evidence","Pending evidence","")))))</x:f>
        <x:v>Requires explicit brand approval</x:v>
      </x:c>
      <x:c r="I183" s="107" t="str">
        <x:f>IF(F183="","Pending",IF(F183="Approve recommendation","Approved",IF(F183="Modify / custom answer",IF(G183="","Action Required","Approved with modification"),IF(F183="Reject","Rejected",IF(F183="Defer","Deferred",IF(F183="Needs evidence","Evidence Required","Pending"))))))</x:f>
        <x:v>Approved</x:v>
      </x:c>
      <x:c r="J183" s="107" t="str">
        <x:v>Critical</x:v>
      </x:c>
      <x:c r="K183" s="110" t="str">
        <x:v>Arabic / Localization Lead + Brand Owner</x:v>
      </x:c>
      <x:c r="L183" s="110"/>
      <x:c r="M183" s="108" t="str">
        <x:v>No</x:v>
      </x:c>
      <x:c r="N183" s="108" t="str"/>
      <x:c r="O183" s="108" t="str">
        <x:v>V2 audit</x:v>
      </x:c>
      <x:c r="P183" s="108" t="str">
        <x:v>SRC-02</x:v>
      </x:c>
      <x:c r="Q183" s="108" t="str"/>
      <x:c r="R183" s="108" t="str">
        <x:v>09 — Arabic &amp; Bilingual System</x:v>
      </x:c>
      <x:c r="S183" s="110" t="str">
        <x:v>ChatGPT prefill · 06 Oct 2026</x:v>
      </x:c>
    </x:row>
    <x:row r="184" ht="36" customHeight="1">
      <x:c r="A184" s="107" t="str">
        <x:v>M11</x:v>
      </x:c>
      <x:c r="B184" s="107" t="str">
        <x:v>Arabic typography and bilingual system</x:v>
      </x:c>
      <x:c r="C184" s="107" t="str">
        <x:v>Brand decision</x:v>
      </x:c>
      <x:c r="D184" s="108" t="str">
        <x:v>Arabic numerals policy</x:v>
      </x:c>
      <x:c r="E184" s="108" t="str">
        <x:v>Choose Western 0–9 / Arabic-Indic / contextual</x:v>
      </x:c>
      <x:c r="F184" s="109" t="str">
        <x:v>Modify / custom answer</x:v>
      </x:c>
      <x:c r="G184" s="110" t="str">
        <x:v>Use contextual numerals by locale. Arabic-facing guest copy may use Arabic-Indic numerals where appropriate; keep Latin 0–9 for SKUs, codes, URLs, phone/technical identifiers and cross-system references unless local policy requires otherwise.</x:v>
      </x:c>
      <x:c r="H184" s="108" t="str">
        <x:f>IF(F184="Approve recommendation",E184,IF(F184="Modify / custom answer",G184,IF(F184="Reject","Rejected",IF(F184="Defer","Deferred",IF(F184="Needs evidence","Pending evidence","")))))</x:f>
        <x:v>Use contextual numerals by locale. Arabic-facing guest copy may use Arabic-Indic numerals where appropriate; keep Latin 0–9 for SKUs, codes, URLs, phone/technical identifiers and cross-system references unless local policy requires otherwise.</x:v>
      </x:c>
      <x:c r="I184" s="107" t="str">
        <x:f>IF(F184="","Pending",IF(F184="Approve recommendation","Approved",IF(F184="Modify / custom answer",IF(G184="","Action Required","Approved with modification"),IF(F184="Reject","Rejected",IF(F184="Defer","Deferred",IF(F184="Needs evidence","Evidence Required","Pending"))))))</x:f>
        <x:v>Approved with modification</x:v>
      </x:c>
      <x:c r="J184" s="107" t="str">
        <x:v>Critical</x:v>
      </x:c>
      <x:c r="K184" s="110" t="str">
        <x:v>Arabic / Localization Lead + Brand Owner</x:v>
      </x:c>
      <x:c r="L184" s="110" t="str">
        <x:v>Approved as the V3.0 consultant recommendation, grounded in the current GEM source system and best-practice review.</x:v>
      </x:c>
      <x:c r="M184" s="108" t="str">
        <x:v>No</x:v>
      </x:c>
      <x:c r="N184" s="108" t="str"/>
      <x:c r="O184" s="108" t="str">
        <x:v>V2 audit</x:v>
      </x:c>
      <x:c r="P184" s="108" t="str">
        <x:v>SRC-02</x:v>
      </x:c>
      <x:c r="Q184" s="108" t="str"/>
      <x:c r="R184" s="108" t="str">
        <x:v>09 — Arabic &amp; Bilingual System</x:v>
      </x:c>
      <x:c r="S184" s="110" t="str">
        <x:v>ChatGPT prefill · 06 Oct 2026</x:v>
      </x:c>
    </x:row>
    <x:row r="185" ht="36" customHeight="1">
      <x:c r="A185" s="107" t="str">
        <x:v>M12</x:v>
      </x:c>
      <x:c r="B185" s="107" t="str">
        <x:v>Arabic typography and bilingual system</x:v>
      </x:c>
      <x:c r="C185" s="107" t="str">
        <x:v>Brand decision</x:v>
      </x:c>
      <x:c r="D185" s="108" t="str">
        <x:v>Mixed-language SKU/code behavior</x:v>
      </x:c>
      <x:c r="E185" s="108" t="str">
        <x:v>Keep standardized codes LTR within RTL layouts</x:v>
      </x:c>
      <x:c r="F185" s="109" t="str">
        <x:v>Approve recommendation</x:v>
      </x:c>
      <x:c r="G185" s="110"/>
      <x:c r="H185" s="108" t="str">
        <x:f>IF(F185="Approve recommendation",E185,IF(F185="Modify / custom answer",G185,IF(F185="Reject","Rejected",IF(F185="Defer","Deferred",IF(F185="Needs evidence","Pending evidence","")))))</x:f>
        <x:v>Keep standardized codes LTR within RTL layouts</x:v>
      </x:c>
      <x:c r="I185" s="107" t="str">
        <x:f>IF(F185="","Pending",IF(F185="Approve recommendation","Approved",IF(F185="Modify / custom answer",IF(G185="","Action Required","Approved with modification"),IF(F185="Reject","Rejected",IF(F185="Defer","Deferred",IF(F185="Needs evidence","Evidence Required","Pending"))))))</x:f>
        <x:v>Approved</x:v>
      </x:c>
      <x:c r="J185" s="107" t="str">
        <x:v>Critical</x:v>
      </x:c>
      <x:c r="K185" s="110" t="str">
        <x:v>Arabic / Localization Lead + Brand Owner</x:v>
      </x:c>
      <x:c r="L185" s="110"/>
      <x:c r="M185" s="108" t="str">
        <x:v>No</x:v>
      </x:c>
      <x:c r="N185" s="108" t="str"/>
      <x:c r="O185" s="108" t="str">
        <x:v>V2 audit</x:v>
      </x:c>
      <x:c r="P185" s="108" t="str">
        <x:v>SRC-02</x:v>
      </x:c>
      <x:c r="Q185" s="108" t="str"/>
      <x:c r="R185" s="108" t="str">
        <x:v>09 — Arabic &amp; Bilingual System</x:v>
      </x:c>
      <x:c r="S185" s="110" t="str">
        <x:v>ChatGPT prefill · 06 Oct 2026</x:v>
      </x:c>
    </x:row>
    <x:row r="186" ht="36" customHeight="1">
      <x:c r="A186" s="107" t="str">
        <x:v>M13</x:v>
      </x:c>
      <x:c r="B186" s="107" t="str">
        <x:v>Arabic typography and bilingual system</x:v>
      </x:c>
      <x:c r="C186" s="107" t="str">
        <x:v>Brand decision</x:v>
      </x:c>
      <x:c r="D186" s="108" t="str">
        <x:v>Should V3.0 include bilingual signage examples?</x:v>
      </x:c>
      <x:c r="E186" s="108" t="str">
        <x:v>Yes</x:v>
      </x:c>
      <x:c r="F186" s="109" t="str">
        <x:v>Approve recommendation</x:v>
      </x:c>
      <x:c r="G186" s="110"/>
      <x:c r="H186" s="108" t="str">
        <x:f>IF(F186="Approve recommendation",E186,IF(F186="Modify / custom answer",G186,IF(F186="Reject","Rejected",IF(F186="Defer","Deferred",IF(F186="Needs evidence","Pending evidence","")))))</x:f>
        <x:v>Yes</x:v>
      </x:c>
      <x:c r="I186" s="107" t="str">
        <x:f>IF(F186="","Pending",IF(F186="Approve recommendation","Approved",IF(F186="Modify / custom answer",IF(G186="","Action Required","Approved with modification"),IF(F186="Reject","Rejected",IF(F186="Defer","Deferred",IF(F186="Needs evidence","Evidence Required","Pending"))))))</x:f>
        <x:v>Approved</x:v>
      </x:c>
      <x:c r="J186" s="107" t="str">
        <x:v>Critical</x:v>
      </x:c>
      <x:c r="K186" s="110" t="str">
        <x:v>Arabic / Localization Lead + Brand Owner</x:v>
      </x:c>
      <x:c r="L186" s="110"/>
      <x:c r="M186" s="108" t="str">
        <x:v>No</x:v>
      </x:c>
      <x:c r="N186" s="108" t="str"/>
      <x:c r="O186" s="108" t="str">
        <x:v>V2 audit</x:v>
      </x:c>
      <x:c r="P186" s="108" t="str">
        <x:v>SRC-02</x:v>
      </x:c>
      <x:c r="Q186" s="108" t="str"/>
      <x:c r="R186" s="108" t="str">
        <x:v>09 — Arabic &amp; Bilingual System</x:v>
      </x:c>
      <x:c r="S186" s="110" t="str">
        <x:v>ChatGPT prefill · 06 Oct 2026</x:v>
      </x:c>
    </x:row>
    <x:row r="187" ht="36" customHeight="1">
      <x:c r="A187" s="107" t="str">
        <x:v>M14</x:v>
      </x:c>
      <x:c r="B187" s="107" t="str">
        <x:v>Arabic typography and bilingual system</x:v>
      </x:c>
      <x:c r="C187" s="107" t="str">
        <x:v>Brand decision</x:v>
      </x:c>
      <x:c r="D187" s="108" t="str">
        <x:v>Should V3.0 include bilingual packaging examples?</x:v>
      </x:c>
      <x:c r="E187" s="108" t="str">
        <x:v>Yes</x:v>
      </x:c>
      <x:c r="F187" s="109" t="str">
        <x:v>Approve recommendation</x:v>
      </x:c>
      <x:c r="G187" s="110"/>
      <x:c r="H187" s="108" t="str">
        <x:f>IF(F187="Approve recommendation",E187,IF(F187="Modify / custom answer",G187,IF(F187="Reject","Rejected",IF(F187="Defer","Deferred",IF(F187="Needs evidence","Pending evidence","")))))</x:f>
        <x:v>Yes</x:v>
      </x:c>
      <x:c r="I187" s="107" t="str">
        <x:f>IF(F187="","Pending",IF(F187="Approve recommendation","Approved",IF(F187="Modify / custom answer",IF(G187="","Action Required","Approved with modification"),IF(F187="Reject","Rejected",IF(F187="Defer","Deferred",IF(F187="Needs evidence","Evidence Required","Pending"))))))</x:f>
        <x:v>Approved</x:v>
      </x:c>
      <x:c r="J187" s="107" t="str">
        <x:v>Critical</x:v>
      </x:c>
      <x:c r="K187" s="110" t="str">
        <x:v>Arabic / Localization Lead + Brand Owner</x:v>
      </x:c>
      <x:c r="L187" s="110"/>
      <x:c r="M187" s="108" t="str">
        <x:v>No</x:v>
      </x:c>
      <x:c r="N187" s="108" t="str"/>
      <x:c r="O187" s="108" t="str">
        <x:v>V2 audit</x:v>
      </x:c>
      <x:c r="P187" s="108" t="str">
        <x:v>SRC-02</x:v>
      </x:c>
      <x:c r="Q187" s="108" t="str"/>
      <x:c r="R187" s="108" t="str">
        <x:v>09 — Arabic &amp; Bilingual System</x:v>
      </x:c>
      <x:c r="S187" s="110" t="str">
        <x:v>ChatGPT prefill · 06 Oct 2026</x:v>
      </x:c>
    </x:row>
    <x:row r="188" ht="36" customHeight="1">
      <x:c r="A188" s="107" t="str">
        <x:v>M15</x:v>
      </x:c>
      <x:c r="B188" s="107" t="str">
        <x:v>Arabic typography and bilingual system</x:v>
      </x:c>
      <x:c r="C188" s="107" t="str">
        <x:v>Brand decision</x:v>
      </x:c>
      <x:c r="D188" s="108" t="str">
        <x:v>Should V3.0 include bilingual digital UI examples?</x:v>
      </x:c>
      <x:c r="E188" s="108" t="str">
        <x:v>Yes</x:v>
      </x:c>
      <x:c r="F188" s="109" t="str">
        <x:v>Approve recommendation</x:v>
      </x:c>
      <x:c r="G188" s="110"/>
      <x:c r="H188" s="108" t="str">
        <x:f>IF(F188="Approve recommendation",E188,IF(F188="Modify / custom answer",G188,IF(F188="Reject","Rejected",IF(F188="Defer","Deferred",IF(F188="Needs evidence","Pending evidence","")))))</x:f>
        <x:v>Yes</x:v>
      </x:c>
      <x:c r="I188" s="107" t="str">
        <x:f>IF(F188="","Pending",IF(F188="Approve recommendation","Approved",IF(F188="Modify / custom answer",IF(G188="","Action Required","Approved with modification"),IF(F188="Reject","Rejected",IF(F188="Defer","Deferred",IF(F188="Needs evidence","Evidence Required","Pending"))))))</x:f>
        <x:v>Approved</x:v>
      </x:c>
      <x:c r="J188" s="107" t="str">
        <x:v>Critical</x:v>
      </x:c>
      <x:c r="K188" s="110" t="str">
        <x:v>Arabic / Localization Lead + Brand Owner</x:v>
      </x:c>
      <x:c r="L188" s="110"/>
      <x:c r="M188" s="108" t="str">
        <x:v>No</x:v>
      </x:c>
      <x:c r="N188" s="108" t="str"/>
      <x:c r="O188" s="108" t="str">
        <x:v>V2 audit</x:v>
      </x:c>
      <x:c r="P188" s="108" t="str">
        <x:v>SRC-02</x:v>
      </x:c>
      <x:c r="Q188" s="108" t="str"/>
      <x:c r="R188" s="108" t="str">
        <x:v>09 — Arabic &amp; Bilingual System</x:v>
      </x:c>
      <x:c r="S188" s="110" t="str">
        <x:v>ChatGPT prefill · 06 Oct 2026</x:v>
      </x:c>
    </x:row>
    <x:row r="189" ht="36" customHeight="1">
      <x:c r="A189" s="107" t="str">
        <x:v>M16</x:v>
      </x:c>
      <x:c r="B189" s="107" t="str">
        <x:v>Arabic typography and bilingual system</x:v>
      </x:c>
      <x:c r="C189" s="107" t="str">
        <x:v>Brand decision</x:v>
      </x:c>
      <x:c r="D189" s="108" t="str">
        <x:v>Should professional Arabic copyediting be mandatory before release?</x:v>
      </x:c>
      <x:c r="E189" s="108" t="str">
        <x:v>Yes</x:v>
      </x:c>
      <x:c r="F189" s="109" t="str">
        <x:v>Approve recommendation</x:v>
      </x:c>
      <x:c r="G189" s="110"/>
      <x:c r="H189" s="108" t="str">
        <x:f>IF(F189="Approve recommendation",E189,IF(F189="Modify / custom answer",G189,IF(F189="Reject","Rejected",IF(F189="Defer","Deferred",IF(F189="Needs evidence","Pending evidence","")))))</x:f>
        <x:v>Yes</x:v>
      </x:c>
      <x:c r="I189" s="107" t="str">
        <x:f>IF(F189="","Pending",IF(F189="Approve recommendation","Approved",IF(F189="Modify / custom answer",IF(G189="","Action Required","Approved with modification"),IF(F189="Reject","Rejected",IF(F189="Defer","Deferred",IF(F189="Needs evidence","Evidence Required","Pending"))))))</x:f>
        <x:v>Approved</x:v>
      </x:c>
      <x:c r="J189" s="107" t="str">
        <x:v>Critical</x:v>
      </x:c>
      <x:c r="K189" s="110" t="str">
        <x:v>Arabic / Localization Lead + Brand Owner</x:v>
      </x:c>
      <x:c r="L189" s="110"/>
      <x:c r="M189" s="108" t="str">
        <x:v>No</x:v>
      </x:c>
      <x:c r="N189" s="108" t="str"/>
      <x:c r="O189" s="108" t="str">
        <x:v>V2 audit</x:v>
      </x:c>
      <x:c r="P189" s="108" t="str">
        <x:v>SRC-02</x:v>
      </x:c>
      <x:c r="Q189" s="108" t="str"/>
      <x:c r="R189" s="108" t="str">
        <x:v>09 — Arabic &amp; Bilingual System</x:v>
      </x:c>
      <x:c r="S189" s="110" t="str">
        <x:v>ChatGPT prefill · 06 Oct 2026</x:v>
      </x:c>
    </x:row>
    <x:row r="190" ht="36" customHeight="1">
      <x:c r="A190" s="107" t="str">
        <x:v>N01</x:v>
      </x:c>
      <x:c r="B190" s="107" t="str">
        <x:v>Graphic language</x:v>
      </x:c>
      <x:c r="C190" s="107" t="str">
        <x:v>Brand decision</x:v>
      </x:c>
      <x:c r="D190" s="108" t="str">
        <x:v>Ring remains official supporting geometry?</x:v>
      </x:c>
      <x:c r="E190" s="108" t="str">
        <x:v>Yes</x:v>
      </x:c>
      <x:c r="F190" s="109" t="str">
        <x:v>Approve recommendation</x:v>
      </x:c>
      <x:c r="G190" s="110"/>
      <x:c r="H190" s="108" t="str">
        <x:f>IF(F190="Approve recommendation",E190,IF(F190="Modify / custom answer",G190,IF(F190="Reject","Rejected",IF(F190="Defer","Deferred",IF(F190="Needs evidence","Pending evidence","")))))</x:f>
        <x:v>Yes</x:v>
      </x:c>
      <x:c r="I190" s="107" t="str">
        <x:f>IF(F190="","Pending",IF(F190="Approve recommendation","Approved",IF(F190="Modify / custom answer",IF(G190="","Action Required","Approved with modification"),IF(F190="Reject","Rejected",IF(F190="Defer","Deferred",IF(F190="Needs evidence","Evidence Required","Pending"))))))</x:f>
        <x:v>Approved</x:v>
      </x:c>
      <x:c r="J190" s="107" t="str">
        <x:v>High</x:v>
      </x:c>
      <x:c r="K190" s="110" t="str">
        <x:v>Design Custodian</x:v>
      </x:c>
      <x:c r="L190" s="110"/>
      <x:c r="M190" s="108" t="str">
        <x:v>No</x:v>
      </x:c>
      <x:c r="N190" s="108" t="str"/>
      <x:c r="O190" s="108" t="str">
        <x:v>V2 guideline + V1 archive</x:v>
      </x:c>
      <x:c r="P190" s="108" t="str">
        <x:v>SRC-01, SRC-03</x:v>
      </x:c>
      <x:c r="Q190" s="108" t="str"/>
      <x:c r="R190" s="108" t="str">
        <x:v>10 — Graphic Language</x:v>
      </x:c>
      <x:c r="S190" s="110" t="str">
        <x:v>ChatGPT prefill · 06 Oct 2026</x:v>
      </x:c>
    </x:row>
    <x:row r="191" ht="36" customHeight="1">
      <x:c r="A191" s="107" t="str">
        <x:v>N02</x:v>
      </x:c>
      <x:c r="B191" s="107" t="str">
        <x:v>Graphic language</x:v>
      </x:c>
      <x:c r="C191" s="107" t="str">
        <x:v>Brand decision</x:v>
      </x:c>
      <x:c r="D191" s="108" t="str">
        <x:v>Arc remains official supporting geometry?</x:v>
      </x:c>
      <x:c r="E191" s="108" t="str">
        <x:v>Yes</x:v>
      </x:c>
      <x:c r="F191" s="109" t="str">
        <x:v>Approve recommendation</x:v>
      </x:c>
      <x:c r="G191" s="110"/>
      <x:c r="H191" s="108" t="str">
        <x:f>IF(F191="Approve recommendation",E191,IF(F191="Modify / custom answer",G191,IF(F191="Reject","Rejected",IF(F191="Defer","Deferred",IF(F191="Needs evidence","Pending evidence","")))))</x:f>
        <x:v>Yes</x:v>
      </x:c>
      <x:c r="I191" s="107" t="str">
        <x:f>IF(F191="","Pending",IF(F191="Approve recommendation","Approved",IF(F191="Modify / custom answer",IF(G191="","Action Required","Approved with modification"),IF(F191="Reject","Rejected",IF(F191="Defer","Deferred",IF(F191="Needs evidence","Evidence Required","Pending"))))))</x:f>
        <x:v>Approved</x:v>
      </x:c>
      <x:c r="J191" s="107" t="str">
        <x:v>High</x:v>
      </x:c>
      <x:c r="K191" s="110" t="str">
        <x:v>Design Custodian</x:v>
      </x:c>
      <x:c r="L191" s="110"/>
      <x:c r="M191" s="108" t="str">
        <x:v>No</x:v>
      </x:c>
      <x:c r="N191" s="108" t="str"/>
      <x:c r="O191" s="108" t="str">
        <x:v>V2 guideline + V1 archive</x:v>
      </x:c>
      <x:c r="P191" s="108" t="str">
        <x:v>SRC-01, SRC-03</x:v>
      </x:c>
      <x:c r="Q191" s="108" t="str"/>
      <x:c r="R191" s="108" t="str">
        <x:v>10 — Graphic Language</x:v>
      </x:c>
      <x:c r="S191" s="110" t="str">
        <x:v>ChatGPT prefill · 06 Oct 2026</x:v>
      </x:c>
    </x:row>
    <x:row r="192" ht="36" customHeight="1">
      <x:c r="A192" s="107" t="str">
        <x:v>N03</x:v>
      </x:c>
      <x:c r="B192" s="107" t="str">
        <x:v>Graphic language</x:v>
      </x:c>
      <x:c r="C192" s="107" t="str">
        <x:v>Brand decision</x:v>
      </x:c>
      <x:c r="D192" s="108" t="str">
        <x:v>Quarter remains official supporting geometry?</x:v>
      </x:c>
      <x:c r="E192" s="108" t="str">
        <x:v>Yes</x:v>
      </x:c>
      <x:c r="F192" s="109" t="str">
        <x:v>Approve recommendation</x:v>
      </x:c>
      <x:c r="G192" s="110"/>
      <x:c r="H192" s="108" t="str">
        <x:f>IF(F192="Approve recommendation",E192,IF(F192="Modify / custom answer",G192,IF(F192="Reject","Rejected",IF(F192="Defer","Deferred",IF(F192="Needs evidence","Pending evidence","")))))</x:f>
        <x:v>Yes</x:v>
      </x:c>
      <x:c r="I192" s="107" t="str">
        <x:f>IF(F192="","Pending",IF(F192="Approve recommendation","Approved",IF(F192="Modify / custom answer",IF(G192="","Action Required","Approved with modification"),IF(F192="Reject","Rejected",IF(F192="Defer","Deferred",IF(F192="Needs evidence","Evidence Required","Pending"))))))</x:f>
        <x:v>Approved</x:v>
      </x:c>
      <x:c r="J192" s="107" t="str">
        <x:v>High</x:v>
      </x:c>
      <x:c r="K192" s="110" t="str">
        <x:v>Design Custodian</x:v>
      </x:c>
      <x:c r="L192" s="110"/>
      <x:c r="M192" s="108" t="str">
        <x:v>No</x:v>
      </x:c>
      <x:c r="N192" s="108" t="str"/>
      <x:c r="O192" s="108" t="str">
        <x:v>V2 guideline + V1 archive</x:v>
      </x:c>
      <x:c r="P192" s="108" t="str">
        <x:v>SRC-01, SRC-03</x:v>
      </x:c>
      <x:c r="Q192" s="108" t="str"/>
      <x:c r="R192" s="108" t="str">
        <x:v>10 — Graphic Language</x:v>
      </x:c>
      <x:c r="S192" s="110" t="str">
        <x:v>ChatGPT prefill · 06 Oct 2026</x:v>
      </x:c>
    </x:row>
    <x:row r="193" ht="36" customHeight="1">
      <x:c r="A193" s="107" t="str">
        <x:v>N04</x:v>
      </x:c>
      <x:c r="B193" s="107" t="str">
        <x:v>Graphic language</x:v>
      </x:c>
      <x:c r="C193" s="107" t="str">
        <x:v>Brand decision</x:v>
      </x:c>
      <x:c r="D193" s="108" t="str">
        <x:v>Spark remains official secondary signature?</x:v>
      </x:c>
      <x:c r="E193" s="108" t="str">
        <x:v>Yes</x:v>
      </x:c>
      <x:c r="F193" s="109" t="str">
        <x:v>Approve recommendation</x:v>
      </x:c>
      <x:c r="G193" s="110"/>
      <x:c r="H193" s="108" t="str">
        <x:f>IF(F193="Approve recommendation",E193,IF(F193="Modify / custom answer",G193,IF(F193="Reject","Rejected",IF(F193="Defer","Deferred",IF(F193="Needs evidence","Pending evidence","")))))</x:f>
        <x:v>Yes</x:v>
      </x:c>
      <x:c r="I193" s="107" t="str">
        <x:f>IF(F193="","Pending",IF(F193="Approve recommendation","Approved",IF(F193="Modify / custom answer",IF(G193="","Action Required","Approved with modification"),IF(F193="Reject","Rejected",IF(F193="Defer","Deferred",IF(F193="Needs evidence","Evidence Required","Pending"))))))</x:f>
        <x:v>Approved</x:v>
      </x:c>
      <x:c r="J193" s="107" t="str">
        <x:v>High</x:v>
      </x:c>
      <x:c r="K193" s="110" t="str">
        <x:v>Design Custodian</x:v>
      </x:c>
      <x:c r="L193" s="110"/>
      <x:c r="M193" s="108" t="str">
        <x:v>No</x:v>
      </x:c>
      <x:c r="N193" s="108" t="str"/>
      <x:c r="O193" s="108" t="str">
        <x:v>V2 guideline + V1 archive</x:v>
      </x:c>
      <x:c r="P193" s="108" t="str">
        <x:v>SRC-01, SRC-03</x:v>
      </x:c>
      <x:c r="Q193" s="108" t="str"/>
      <x:c r="R193" s="108" t="str">
        <x:v>10 — Graphic Language</x:v>
      </x:c>
      <x:c r="S193" s="110" t="str">
        <x:v>ChatGPT prefill · 06 Oct 2026</x:v>
      </x:c>
    </x:row>
    <x:row r="194" ht="36" customHeight="1">
      <x:c r="A194" s="107" t="str">
        <x:v>N05</x:v>
      </x:c>
      <x:c r="B194" s="107" t="str">
        <x:v>Graphic language</x:v>
      </x:c>
      <x:c r="C194" s="107" t="str">
        <x:v>Decision + evidence</x:v>
      </x:c>
      <x:c r="D194" s="108" t="str">
        <x:v>Supporting geometry must derive from the master mark?</x:v>
      </x:c>
      <x:c r="E194" s="108" t="str">
        <x:v>Yes</x:v>
      </x:c>
      <x:c r="F194" s="109" t="str">
        <x:v>Approve recommendation</x:v>
      </x:c>
      <x:c r="G194" s="110"/>
      <x:c r="H194" s="108" t="str">
        <x:f>IF(F194="Approve recommendation",E194,IF(F194="Modify / custom answer",G194,IF(F194="Reject","Rejected",IF(F194="Defer","Deferred",IF(F194="Needs evidence","Pending evidence","")))))</x:f>
        <x:v>Yes</x:v>
      </x:c>
      <x:c r="I194" s="107" t="str">
        <x:f>IF(F194="","Pending",IF(F194="Approve recommendation","Approved",IF(F194="Modify / custom answer",IF(G194="","Action Required","Approved with modification"),IF(F194="Reject","Rejected",IF(F194="Defer","Deferred",IF(F194="Needs evidence","Evidence Required","Pending"))))))</x:f>
        <x:v>Approved</x:v>
      </x:c>
      <x:c r="J194" s="107" t="str">
        <x:v>High</x:v>
      </x:c>
      <x:c r="K194" s="110" t="str">
        <x:v>Design Custodian</x:v>
      </x:c>
      <x:c r="L194" s="110"/>
      <x:c r="M194" s="108" t="str">
        <x:v>No</x:v>
      </x:c>
      <x:c r="N194" s="108" t="str"/>
      <x:c r="O194" s="108" t="str">
        <x:v>V2 guideline + V1 archive</x:v>
      </x:c>
      <x:c r="P194" s="108" t="str">
        <x:v>SRC-01, SRC-03</x:v>
      </x:c>
      <x:c r="Q194" s="108" t="str"/>
      <x:c r="R194" s="108" t="str">
        <x:v>10 — Graphic Language</x:v>
      </x:c>
      <x:c r="S194" s="110" t="str">
        <x:v>ChatGPT prefill · 06 Oct 2026</x:v>
      </x:c>
    </x:row>
    <x:row r="195" ht="36" customHeight="1">
      <x:c r="A195" s="107" t="str">
        <x:v>N06</x:v>
      </x:c>
      <x:c r="B195" s="107" t="str">
        <x:v>Graphic language</x:v>
      </x:c>
      <x:c r="C195" s="107" t="str">
        <x:v>Brand decision</x:v>
      </x:c>
      <x:c r="D195" s="108" t="str">
        <x:v>One oversized geometric device preferred over many small elements?</x:v>
      </x:c>
      <x:c r="E195" s="108" t="str">
        <x:v>Yes</x:v>
      </x:c>
      <x:c r="F195" s="109" t="str">
        <x:v>Approve recommendation</x:v>
      </x:c>
      <x:c r="G195" s="110"/>
      <x:c r="H195" s="108" t="str">
        <x:f>IF(F195="Approve recommendation",E195,IF(F195="Modify / custom answer",G195,IF(F195="Reject","Rejected",IF(F195="Defer","Deferred",IF(F195="Needs evidence","Pending evidence","")))))</x:f>
        <x:v>Yes</x:v>
      </x:c>
      <x:c r="I195" s="107" t="str">
        <x:f>IF(F195="","Pending",IF(F195="Approve recommendation","Approved",IF(F195="Modify / custom answer",IF(G195="","Action Required","Approved with modification"),IF(F195="Reject","Rejected",IF(F195="Defer","Deferred",IF(F195="Needs evidence","Evidence Required","Pending"))))))</x:f>
        <x:v>Approved</x:v>
      </x:c>
      <x:c r="J195" s="107" t="str">
        <x:v>High</x:v>
      </x:c>
      <x:c r="K195" s="110" t="str">
        <x:v>Design Custodian</x:v>
      </x:c>
      <x:c r="L195" s="110"/>
      <x:c r="M195" s="108" t="str">
        <x:v>No</x:v>
      </x:c>
      <x:c r="N195" s="108" t="str"/>
      <x:c r="O195" s="108" t="str">
        <x:v>V2 guideline + V1 archive</x:v>
      </x:c>
      <x:c r="P195" s="108" t="str">
        <x:v>SRC-01, SRC-03</x:v>
      </x:c>
      <x:c r="Q195" s="108" t="str"/>
      <x:c r="R195" s="108" t="str">
        <x:v>10 — Graphic Language</x:v>
      </x:c>
      <x:c r="S195" s="110" t="str">
        <x:v>ChatGPT prefill · 06 Oct 2026</x:v>
      </x:c>
    </x:row>
    <x:row r="196" ht="36" customHeight="1">
      <x:c r="A196" s="107" t="str">
        <x:v>N07</x:v>
      </x:c>
      <x:c r="B196" s="107" t="str">
        <x:v>Graphic language</x:v>
      </x:c>
      <x:c r="C196" s="107" t="str">
        <x:v>Brand decision</x:v>
      </x:c>
      <x:c r="D196" s="108" t="str">
        <x:v>Cropping ring/quarter off page allowed?</x:v>
      </x:c>
      <x:c r="E196" s="108" t="str">
        <x:v>Yes</x:v>
      </x:c>
      <x:c r="F196" s="109" t="str">
        <x:v>Approve recommendation</x:v>
      </x:c>
      <x:c r="G196" s="110"/>
      <x:c r="H196" s="108" t="str">
        <x:f>IF(F196="Approve recommendation",E196,IF(F196="Modify / custom answer",G196,IF(F196="Reject","Rejected",IF(F196="Defer","Deferred",IF(F196="Needs evidence","Pending evidence","")))))</x:f>
        <x:v>Yes</x:v>
      </x:c>
      <x:c r="I196" s="107" t="str">
        <x:f>IF(F196="","Pending",IF(F196="Approve recommendation","Approved",IF(F196="Modify / custom answer",IF(G196="","Action Required","Approved with modification"),IF(F196="Reject","Rejected",IF(F196="Defer","Deferred",IF(F196="Needs evidence","Evidence Required","Pending"))))))</x:f>
        <x:v>Approved</x:v>
      </x:c>
      <x:c r="J196" s="107" t="str">
        <x:v>High</x:v>
      </x:c>
      <x:c r="K196" s="110" t="str">
        <x:v>Design Custodian</x:v>
      </x:c>
      <x:c r="L196" s="110"/>
      <x:c r="M196" s="108" t="str">
        <x:v>No</x:v>
      </x:c>
      <x:c r="N196" s="108" t="str"/>
      <x:c r="O196" s="108" t="str">
        <x:v>V2 guideline + V1 archive</x:v>
      </x:c>
      <x:c r="P196" s="108" t="str">
        <x:v>SRC-01, SRC-03</x:v>
      </x:c>
      <x:c r="Q196" s="108" t="str"/>
      <x:c r="R196" s="108" t="str">
        <x:v>10 — Graphic Language</x:v>
      </x:c>
      <x:c r="S196" s="110" t="str">
        <x:v>ChatGPT prefill · 06 Oct 2026</x:v>
      </x:c>
    </x:row>
    <x:row r="197" ht="36" customHeight="1">
      <x:c r="A197" s="107" t="str">
        <x:v>N08</x:v>
      </x:c>
      <x:c r="B197" s="107" t="str">
        <x:v>Graphic language</x:v>
      </x:c>
      <x:c r="C197" s="107" t="str">
        <x:v>Brand decision</x:v>
      </x:c>
      <x:c r="D197" s="108" t="str">
        <x:v>Geometry may overlap/crowd the logo?</x:v>
      </x:c>
      <x:c r="E197" s="108" t="str">
        <x:v>No</x:v>
      </x:c>
      <x:c r="F197" s="109" t="str">
        <x:v>Approve recommendation</x:v>
      </x:c>
      <x:c r="G197" s="110"/>
      <x:c r="H197" s="108" t="str">
        <x:f>IF(F197="Approve recommendation",E197,IF(F197="Modify / custom answer",G197,IF(F197="Reject","Rejected",IF(F197="Defer","Deferred",IF(F197="Needs evidence","Pending evidence","")))))</x:f>
        <x:v>No</x:v>
      </x:c>
      <x:c r="I197" s="107" t="str">
        <x:f>IF(F197="","Pending",IF(F197="Approve recommendation","Approved",IF(F197="Modify / custom answer",IF(G197="","Action Required","Approved with modification"),IF(F197="Reject","Rejected",IF(F197="Defer","Deferred",IF(F197="Needs evidence","Evidence Required","Pending"))))))</x:f>
        <x:v>Approved</x:v>
      </x:c>
      <x:c r="J197" s="107" t="str">
        <x:v>High</x:v>
      </x:c>
      <x:c r="K197" s="110" t="str">
        <x:v>Design Custodian</x:v>
      </x:c>
      <x:c r="L197" s="110"/>
      <x:c r="M197" s="108" t="str">
        <x:v>No</x:v>
      </x:c>
      <x:c r="N197" s="108" t="str"/>
      <x:c r="O197" s="108" t="str">
        <x:v>V2 guideline + V1 archive</x:v>
      </x:c>
      <x:c r="P197" s="108" t="str">
        <x:v>SRC-01, SRC-03</x:v>
      </x:c>
      <x:c r="Q197" s="108" t="str"/>
      <x:c r="R197" s="108" t="str">
        <x:v>10 — Graphic Language</x:v>
      </x:c>
      <x:c r="S197" s="110" t="str">
        <x:v>ChatGPT prefill · 06 Oct 2026</x:v>
      </x:c>
    </x:row>
    <x:row r="198" ht="36" customHeight="1">
      <x:c r="A198" s="107" t="str">
        <x:v>N09</x:v>
      </x:c>
      <x:c r="B198" s="107" t="str">
        <x:v>Graphic language</x:v>
      </x:c>
      <x:c r="C198" s="107" t="str">
        <x:v>Brand decision</x:v>
      </x:c>
      <x:c r="D198" s="108" t="str">
        <x:v>Triangular V1 framing retained?</x:v>
      </x:c>
      <x:c r="E198" s="108" t="str">
        <x:v>No</x:v>
      </x:c>
      <x:c r="F198" s="109" t="str">
        <x:v>Approve recommendation</x:v>
      </x:c>
      <x:c r="G198" s="110"/>
      <x:c r="H198" s="108" t="str">
        <x:f>IF(F198="Approve recommendation",E198,IF(F198="Modify / custom answer",G198,IF(F198="Reject","Rejected",IF(F198="Defer","Deferred",IF(F198="Needs evidence","Pending evidence","")))))</x:f>
        <x:v>No</x:v>
      </x:c>
      <x:c r="I198" s="107" t="str">
        <x:f>IF(F198="","Pending",IF(F198="Approve recommendation","Approved",IF(F198="Modify / custom answer",IF(G198="","Action Required","Approved with modification"),IF(F198="Reject","Rejected",IF(F198="Defer","Deferred",IF(F198="Needs evidence","Evidence Required","Pending"))))))</x:f>
        <x:v>Approved</x:v>
      </x:c>
      <x:c r="J198" s="107" t="str">
        <x:v>High</x:v>
      </x:c>
      <x:c r="K198" s="110" t="str">
        <x:v>Design Custodian</x:v>
      </x:c>
      <x:c r="L198" s="110"/>
      <x:c r="M198" s="108" t="str">
        <x:v>No</x:v>
      </x:c>
      <x:c r="N198" s="108" t="str"/>
      <x:c r="O198" s="108" t="str">
        <x:v>V2 guideline + V1 archive</x:v>
      </x:c>
      <x:c r="P198" s="108" t="str">
        <x:v>SRC-01, SRC-03</x:v>
      </x:c>
      <x:c r="Q198" s="108" t="str"/>
      <x:c r="R198" s="108" t="str">
        <x:v>10 — Graphic Language</x:v>
      </x:c>
      <x:c r="S198" s="110" t="str">
        <x:v>ChatGPT prefill · 06 Oct 2026</x:v>
      </x:c>
    </x:row>
    <x:row r="199" ht="36" customHeight="1">
      <x:c r="A199" s="107" t="str">
        <x:v>N10</x:v>
      </x:c>
      <x:c r="B199" s="107" t="str">
        <x:v>Graphic language</x:v>
      </x:c>
      <x:c r="C199" s="107" t="str">
        <x:v>Brand decision</x:v>
      </x:c>
      <x:c r="D199" s="108" t="str">
        <x:v>May spark become a repeating pattern?</x:v>
      </x:c>
      <x:c r="E199" s="108" t="str">
        <x:v>No</x:v>
      </x:c>
      <x:c r="F199" s="109" t="str">
        <x:v>Approve recommendation</x:v>
      </x:c>
      <x:c r="G199" s="110"/>
      <x:c r="H199" s="108" t="str">
        <x:f>IF(F199="Approve recommendation",E199,IF(F199="Modify / custom answer",G199,IF(F199="Reject","Rejected",IF(F199="Defer","Deferred",IF(F199="Needs evidence","Pending evidence","")))))</x:f>
        <x:v>No</x:v>
      </x:c>
      <x:c r="I199" s="107" t="str">
        <x:f>IF(F199="","Pending",IF(F199="Approve recommendation","Approved",IF(F199="Modify / custom answer",IF(G199="","Action Required","Approved with modification"),IF(F199="Reject","Rejected",IF(F199="Defer","Deferred",IF(F199="Needs evidence","Evidence Required","Pending"))))))</x:f>
        <x:v>Approved</x:v>
      </x:c>
      <x:c r="J199" s="107" t="str">
        <x:v>High</x:v>
      </x:c>
      <x:c r="K199" s="110" t="str">
        <x:v>Design Custodian</x:v>
      </x:c>
      <x:c r="L199" s="110"/>
      <x:c r="M199" s="108" t="str">
        <x:v>No</x:v>
      </x:c>
      <x:c r="N199" s="108" t="str"/>
      <x:c r="O199" s="108" t="str">
        <x:v>V2 guideline + V1 archive</x:v>
      </x:c>
      <x:c r="P199" s="108" t="str">
        <x:v>SRC-01, SRC-03</x:v>
      </x:c>
      <x:c r="Q199" s="108" t="str"/>
      <x:c r="R199" s="108" t="str">
        <x:v>10 — Graphic Language</x:v>
      </x:c>
      <x:c r="S199" s="110" t="str">
        <x:v>ChatGPT prefill · 06 Oct 2026</x:v>
      </x:c>
    </x:row>
    <x:row r="200" ht="36" customHeight="1">
      <x:c r="A200" s="107" t="str">
        <x:v>N11</x:v>
      </x:c>
      <x:c r="B200" s="107" t="str">
        <x:v>Graphic language</x:v>
      </x:c>
      <x:c r="C200" s="107" t="str">
        <x:v>Brand decision</x:v>
      </x:c>
      <x:c r="D200" s="108" t="str">
        <x:v>Maximum spark use per composition</x:v>
      </x:c>
      <x:c r="E200" s="108" t="str">
        <x:v>One</x:v>
      </x:c>
      <x:c r="F200" s="109" t="str">
        <x:v>Approve recommendation</x:v>
      </x:c>
      <x:c r="G200" s="110"/>
      <x:c r="H200" s="108" t="str">
        <x:f>IF(F200="Approve recommendation",E200,IF(F200="Modify / custom answer",G200,IF(F200="Reject","Rejected",IF(F200="Defer","Deferred",IF(F200="Needs evidence","Pending evidence","")))))</x:f>
        <x:v>One</x:v>
      </x:c>
      <x:c r="I200" s="107" t="str">
        <x:f>IF(F200="","Pending",IF(F200="Approve recommendation","Approved",IF(F200="Modify / custom answer",IF(G200="","Action Required","Approved with modification"),IF(F200="Reject","Rejected",IF(F200="Defer","Deferred",IF(F200="Needs evidence","Evidence Required","Pending"))))))</x:f>
        <x:v>Approved</x:v>
      </x:c>
      <x:c r="J200" s="107" t="str">
        <x:v>High</x:v>
      </x:c>
      <x:c r="K200" s="110" t="str">
        <x:v>Design Custodian</x:v>
      </x:c>
      <x:c r="L200" s="110"/>
      <x:c r="M200" s="108" t="str">
        <x:v>No</x:v>
      </x:c>
      <x:c r="N200" s="108" t="str"/>
      <x:c r="O200" s="108" t="str">
        <x:v>V2 guideline + V1 archive</x:v>
      </x:c>
      <x:c r="P200" s="108" t="str">
        <x:v>SRC-01, SRC-03</x:v>
      </x:c>
      <x:c r="Q200" s="108" t="str"/>
      <x:c r="R200" s="108" t="str">
        <x:v>10 — Graphic Language</x:v>
      </x:c>
      <x:c r="S200" s="110" t="str">
        <x:v>ChatGPT prefill · 06 Oct 2026</x:v>
      </x:c>
    </x:row>
    <x:row r="201" ht="36" customHeight="1">
      <x:c r="A201" s="107" t="str">
        <x:v>N12</x:v>
      </x:c>
      <x:c r="B201" s="107" t="str">
        <x:v>Graphic language</x:v>
      </x:c>
      <x:c r="C201" s="107" t="str">
        <x:v>Brand decision</x:v>
      </x:c>
      <x:c r="D201" s="108" t="str">
        <x:v>Need a formal grid/layout system in V3.0?</x:v>
      </x:c>
      <x:c r="E201" s="108" t="str">
        <x:v>Yes</x:v>
      </x:c>
      <x:c r="F201" s="109" t="str">
        <x:v>Approve recommendation</x:v>
      </x:c>
      <x:c r="G201" s="110"/>
      <x:c r="H201" s="108" t="str">
        <x:f>IF(F201="Approve recommendation",E201,IF(F201="Modify / custom answer",G201,IF(F201="Reject","Rejected",IF(F201="Defer","Deferred",IF(F201="Needs evidence","Pending evidence","")))))</x:f>
        <x:v>Yes</x:v>
      </x:c>
      <x:c r="I201" s="107" t="str">
        <x:f>IF(F201="","Pending",IF(F201="Approve recommendation","Approved",IF(F201="Modify / custom answer",IF(G201="","Action Required","Approved with modification"),IF(F201="Reject","Rejected",IF(F201="Defer","Deferred",IF(F201="Needs evidence","Evidence Required","Pending"))))))</x:f>
        <x:v>Approved</x:v>
      </x:c>
      <x:c r="J201" s="107" t="str">
        <x:v>High</x:v>
      </x:c>
      <x:c r="K201" s="110" t="str">
        <x:v>Design Custodian</x:v>
      </x:c>
      <x:c r="L201" s="110"/>
      <x:c r="M201" s="108" t="str">
        <x:v>No</x:v>
      </x:c>
      <x:c r="N201" s="108" t="str"/>
      <x:c r="O201" s="108" t="str">
        <x:v>V2 guideline + V1 archive</x:v>
      </x:c>
      <x:c r="P201" s="108" t="str">
        <x:v>SRC-01, SRC-03</x:v>
      </x:c>
      <x:c r="Q201" s="108" t="str"/>
      <x:c r="R201" s="108" t="str">
        <x:v>10 — Graphic Language</x:v>
      </x:c>
      <x:c r="S201" s="110" t="str">
        <x:v>ChatGPT prefill · 06 Oct 2026</x:v>
      </x:c>
    </x:row>
    <x:row r="202" ht="36" customHeight="1">
      <x:c r="A202" s="107" t="str">
        <x:v>N13</x:v>
      </x:c>
      <x:c r="B202" s="107" t="str">
        <x:v>Graphic language</x:v>
      </x:c>
      <x:c r="C202" s="107" t="str">
        <x:v>Brand decision</x:v>
      </x:c>
      <x:c r="D202" s="108" t="str">
        <x:v>Need spacing tokens derived from a base unit?</x:v>
      </x:c>
      <x:c r="E202" s="108" t="str">
        <x:v>Yes</x:v>
      </x:c>
      <x:c r="F202" s="109" t="str">
        <x:v>Approve recommendation</x:v>
      </x:c>
      <x:c r="G202" s="110"/>
      <x:c r="H202" s="108" t="str">
        <x:f>IF(F202="Approve recommendation",E202,IF(F202="Modify / custom answer",G202,IF(F202="Reject","Rejected",IF(F202="Defer","Deferred",IF(F202="Needs evidence","Pending evidence","")))))</x:f>
        <x:v>Yes</x:v>
      </x:c>
      <x:c r="I202" s="107" t="str">
        <x:f>IF(F202="","Pending",IF(F202="Approve recommendation","Approved",IF(F202="Modify / custom answer",IF(G202="","Action Required","Approved with modification"),IF(F202="Reject","Rejected",IF(F202="Defer","Deferred",IF(F202="Needs evidence","Evidence Required","Pending"))))))</x:f>
        <x:v>Approved</x:v>
      </x:c>
      <x:c r="J202" s="107" t="str">
        <x:v>High</x:v>
      </x:c>
      <x:c r="K202" s="110" t="str">
        <x:v>Design Custodian</x:v>
      </x:c>
      <x:c r="L202" s="110"/>
      <x:c r="M202" s="108" t="str">
        <x:v>No</x:v>
      </x:c>
      <x:c r="N202" s="108" t="str"/>
      <x:c r="O202" s="108" t="str">
        <x:v>V2 guideline + V1 archive</x:v>
      </x:c>
      <x:c r="P202" s="108" t="str">
        <x:v>SRC-01, SRC-03</x:v>
      </x:c>
      <x:c r="Q202" s="108" t="str"/>
      <x:c r="R202" s="108" t="str">
        <x:v>10 — Graphic Language</x:v>
      </x:c>
      <x:c r="S202" s="110" t="str">
        <x:v>ChatGPT prefill · 06 Oct 2026</x:v>
      </x:c>
    </x:row>
    <x:row r="203" ht="36" customHeight="1">
      <x:c r="A203" s="107" t="str">
        <x:v>N14</x:v>
      </x:c>
      <x:c r="B203" s="107" t="str">
        <x:v>Graphic language</x:v>
      </x:c>
      <x:c r="C203" s="107" t="str">
        <x:v>Brand decision</x:v>
      </x:c>
      <x:c r="D203" s="108" t="str">
        <x:v>Should GEM create a controlled functional glyph system rather than a decorative icon library?</x:v>
      </x:c>
      <x:c r="E203" s="108" t="str">
        <x:v>Yes — create only the minimal functional glyphs required by hospitality/product use cases; no decorative icon library.</x:v>
      </x:c>
      <x:c r="F203" s="109" t="str">
        <x:v>Approve recommendation</x:v>
      </x:c>
      <x:c r="G203" s="110"/>
      <x:c r="H203" s="108" t="str">
        <x:f>IF(F203="Approve recommendation",E203,IF(F203="Modify / custom answer",G203,IF(F203="Reject","Rejected",IF(F203="Defer","Deferred",IF(F203="Needs evidence","Pending evidence","")))))</x:f>
        <x:v>Yes — create only the minimal functional glyphs required by hospitality/product use cases; no decorative icon library.</x:v>
      </x:c>
      <x:c r="I203" s="107" t="str">
        <x:f>IF(F203="","Pending",IF(F203="Approve recommendation","Approved",IF(F203="Modify / custom answer",IF(G203="","Action Required","Approved with modification"),IF(F203="Reject","Rejected",IF(F203="Defer","Deferred",IF(F203="Needs evidence","Evidence Required","Pending"))))))</x:f>
        <x:v>Approved</x:v>
      </x:c>
      <x:c r="J203" s="107" t="str">
        <x:v>High</x:v>
      </x:c>
      <x:c r="K203" s="110" t="str">
        <x:v>Design Custodian</x:v>
      </x:c>
      <x:c r="L203" s="110"/>
      <x:c r="M203" s="108" t="str">
        <x:v>No</x:v>
      </x:c>
      <x:c r="N203" s="108" t="str"/>
      <x:c r="O203" s="108" t="str">
        <x:v>GEM Design System v2.1 review</x:v>
      </x:c>
      <x:c r="P203" s="108" t="str">
        <x:v>SRC-04</x:v>
      </x:c>
      <x:c r="Q203" s="108" t="str"/>
      <x:c r="R203" s="108" t="str">
        <x:v>11 — Iconography</x:v>
      </x:c>
      <x:c r="S203" s="110" t="str">
        <x:v>ChatGPT prefill · 06 Oct 2026</x:v>
      </x:c>
    </x:row>
    <x:row r="204" ht="36" customHeight="1">
      <x:c r="A204" s="107" t="str">
        <x:v>N15</x:v>
      </x:c>
      <x:c r="B204" s="107" t="str">
        <x:v>Graphic language</x:v>
      </x:c>
      <x:c r="C204" s="107" t="str">
        <x:v>Brand decision</x:v>
      </x:c>
      <x:c r="D204" s="108" t="str">
        <x:v>Functional glyph style</x:v>
      </x:c>
      <x:c r="E204" s="108" t="str">
        <x:v>Geometric, reduced, single-colour, approximately 2px optical stroke, aligned to a defined optical box and always paired with accessible naming where interactive.</x:v>
      </x:c>
      <x:c r="F204" s="109" t="str">
        <x:v>Approve recommendation</x:v>
      </x:c>
      <x:c r="G204" s="110"/>
      <x:c r="H204" s="108" t="str">
        <x:f>IF(F204="Approve recommendation",E204,IF(F204="Modify / custom answer",G204,IF(F204="Reject","Rejected",IF(F204="Defer","Deferred",IF(F204="Needs evidence","Pending evidence","")))))</x:f>
        <x:v>Geometric, reduced, single-colour, approximately 2px optical stroke, aligned to a defined optical box and always paired with accessible naming where interactive.</x:v>
      </x:c>
      <x:c r="I204" s="107" t="str">
        <x:f>IF(F204="","Pending",IF(F204="Approve recommendation","Approved",IF(F204="Modify / custom answer",IF(G204="","Action Required","Approved with modification"),IF(F204="Reject","Rejected",IF(F204="Defer","Deferred",IF(F204="Needs evidence","Evidence Required","Pending"))))))</x:f>
        <x:v>Approved</x:v>
      </x:c>
      <x:c r="J204" s="107" t="str">
        <x:v>High</x:v>
      </x:c>
      <x:c r="K204" s="110" t="str">
        <x:v>Design Custodian</x:v>
      </x:c>
      <x:c r="L204" s="110"/>
      <x:c r="M204" s="108" t="str">
        <x:v>No</x:v>
      </x:c>
      <x:c r="N204" s="108" t="str"/>
      <x:c r="O204" s="108" t="str">
        <x:v>GEM Design System v2.1</x:v>
      </x:c>
      <x:c r="P204" s="108" t="str">
        <x:v>SRC-04</x:v>
      </x:c>
      <x:c r="Q204" s="108" t="str"/>
      <x:c r="R204" s="108" t="str">
        <x:v>10 — Graphic Language</x:v>
      </x:c>
      <x:c r="S204" s="110" t="str">
        <x:v>ChatGPT prefill · 06 Oct 2026</x:v>
      </x:c>
    </x:row>
    <x:row r="205" ht="36" customHeight="1">
      <x:c r="A205" s="107" t="str">
        <x:v>N16</x:v>
      </x:c>
      <x:c r="B205" s="107" t="str">
        <x:v>Graphic language</x:v>
      </x:c>
      <x:c r="C205" s="107" t="str">
        <x:v>Brand decision</x:v>
      </x:c>
      <x:c r="D205" s="108" t="str">
        <x:v>Should generic stock or decorative icon libraries be permitted?</x:v>
      </x:c>
      <x:c r="E205" s="108" t="str">
        <x:v>No — only approved functional glyphs; any exception requires review.</x:v>
      </x:c>
      <x:c r="F205" s="109" t="str">
        <x:v>Approve recommendation</x:v>
      </x:c>
      <x:c r="G205" s="110"/>
      <x:c r="H205" s="108" t="str">
        <x:f>IF(F205="Approve recommendation",E205,IF(F205="Modify / custom answer",G205,IF(F205="Reject","Rejected",IF(F205="Defer","Deferred",IF(F205="Needs evidence","Pending evidence","")))))</x:f>
        <x:v>No — only approved functional glyphs; any exception requires review.</x:v>
      </x:c>
      <x:c r="I205" s="107" t="str">
        <x:f>IF(F205="","Pending",IF(F205="Approve recommendation","Approved",IF(F205="Modify / custom answer",IF(G205="","Action Required","Approved with modification"),IF(F205="Reject","Rejected",IF(F205="Defer","Deferred",IF(F205="Needs evidence","Evidence Required","Pending"))))))</x:f>
        <x:v>Approved</x:v>
      </x:c>
      <x:c r="J205" s="107" t="str">
        <x:v>High</x:v>
      </x:c>
      <x:c r="K205" s="110" t="str">
        <x:v>Design Custodian</x:v>
      </x:c>
      <x:c r="L205" s="110"/>
      <x:c r="M205" s="108" t="str">
        <x:v>No</x:v>
      </x:c>
      <x:c r="N205" s="108" t="str"/>
      <x:c r="O205" s="108" t="str">
        <x:v>GEM Design System v2.1</x:v>
      </x:c>
      <x:c r="P205" s="108" t="str">
        <x:v>SRC-04</x:v>
      </x:c>
      <x:c r="Q205" s="108" t="str"/>
      <x:c r="R205" s="108" t="str">
        <x:v>10 — Graphic Language</x:v>
      </x:c>
      <x:c r="S205" s="110" t="str">
        <x:v>ChatGPT prefill · 06 Oct 2026</x:v>
      </x:c>
    </x:row>
    <x:row r="206" ht="36" customHeight="1">
      <x:c r="A206" s="107" t="str">
        <x:v>O01</x:v>
      </x:c>
      <x:c r="B206" s="107" t="str">
        <x:v>Photography and imagery</x:v>
      </x:c>
      <x:c r="C206" s="107" t="str">
        <x:v>Brand decision</x:v>
      </x:c>
      <x:c r="D206" s="108" t="str">
        <x:v>Overall photography style</x:v>
      </x:c>
      <x:c r="E206" s="108" t="str">
        <x:v>Editorial, architectural, restrained</x:v>
      </x:c>
      <x:c r="F206" s="109" t="str">
        <x:v>Approve recommendation</x:v>
      </x:c>
      <x:c r="G206" s="110"/>
      <x:c r="H206" s="108" t="str">
        <x:f>IF(F206="Approve recommendation",E206,IF(F206="Modify / custom answer",G206,IF(F206="Reject","Rejected",IF(F206="Defer","Deferred",IF(F206="Needs evidence","Pending evidence","")))))</x:f>
        <x:v>Editorial, architectural, restrained</x:v>
      </x:c>
      <x:c r="I206" s="107" t="str">
        <x:f>IF(F206="","Pending",IF(F206="Approve recommendation","Approved",IF(F206="Modify / custom answer",IF(G206="","Action Required","Approved with modification"),IF(F206="Reject","Rejected",IF(F206="Defer","Deferred",IF(F206="Needs evidence","Evidence Required","Pending"))))))</x:f>
        <x:v>Approved</x:v>
      </x:c>
      <x:c r="J206" s="107" t="str">
        <x:v>High</x:v>
      </x:c>
      <x:c r="K206" s="110" t="str">
        <x:v>Design Custodian / Art Direction</x:v>
      </x:c>
      <x:c r="L206" s="110"/>
      <x:c r="M206" s="108" t="str">
        <x:v>No</x:v>
      </x:c>
      <x:c r="N206" s="108" t="str"/>
      <x:c r="O206" s="108" t="str">
        <x:v>V2 guideline + V2 audit</x:v>
      </x:c>
      <x:c r="P206" s="108" t="str">
        <x:v>SRC-01, SRC-02</x:v>
      </x:c>
      <x:c r="Q206" s="108" t="str"/>
      <x:c r="R206" s="108" t="str">
        <x:v>12 — Photography &amp; Art Direction</x:v>
      </x:c>
      <x:c r="S206" s="110" t="str">
        <x:v>ChatGPT prefill · 06 Oct 2026</x:v>
      </x:c>
    </x:row>
    <x:row r="207" ht="36" customHeight="1">
      <x:c r="A207" s="107" t="str">
        <x:v>O02</x:v>
      </x:c>
      <x:c r="B207" s="107" t="str">
        <x:v>Photography and imagery</x:v>
      </x:c>
      <x:c r="C207" s="107" t="str">
        <x:v>Brand decision</x:v>
      </x:c>
      <x:c r="D207" s="108" t="str">
        <x:v>Generic stock-hospitality imagery</x:v>
      </x:c>
      <x:c r="E207" s="108" t="str">
        <x:v>Avoid</x:v>
      </x:c>
      <x:c r="F207" s="109" t="str">
        <x:v>Approve recommendation</x:v>
      </x:c>
      <x:c r="G207" s="110"/>
      <x:c r="H207" s="108" t="str">
        <x:f>IF(F207="Approve recommendation",E207,IF(F207="Modify / custom answer",G207,IF(F207="Reject","Rejected",IF(F207="Defer","Deferred",IF(F207="Needs evidence","Pending evidence","")))))</x:f>
        <x:v>Avoid</x:v>
      </x:c>
      <x:c r="I207" s="107" t="str">
        <x:f>IF(F207="","Pending",IF(F207="Approve recommendation","Approved",IF(F207="Modify / custom answer",IF(G207="","Action Required","Approved with modification"),IF(F207="Reject","Rejected",IF(F207="Defer","Deferred",IF(F207="Needs evidence","Evidence Required","Pending"))))))</x:f>
        <x:v>Approved</x:v>
      </x:c>
      <x:c r="J207" s="107" t="str">
        <x:v>High</x:v>
      </x:c>
      <x:c r="K207" s="110" t="str">
        <x:v>Design Custodian / Art Direction</x:v>
      </x:c>
      <x:c r="L207" s="110"/>
      <x:c r="M207" s="108" t="str">
        <x:v>No</x:v>
      </x:c>
      <x:c r="N207" s="108" t="str"/>
      <x:c r="O207" s="108" t="str">
        <x:v>V2 guideline + V2 audit</x:v>
      </x:c>
      <x:c r="P207" s="108" t="str">
        <x:v>SRC-01, SRC-02</x:v>
      </x:c>
      <x:c r="Q207" s="108" t="str"/>
      <x:c r="R207" s="108" t="str">
        <x:v>12 — Photography &amp; Art Direction</x:v>
      </x:c>
      <x:c r="S207" s="110" t="str">
        <x:v>ChatGPT prefill · 06 Oct 2026</x:v>
      </x:c>
    </x:row>
    <x:row r="208" ht="36" customHeight="1">
      <x:c r="A208" s="107" t="str">
        <x:v>O03</x:v>
      </x:c>
      <x:c r="B208" s="107" t="str">
        <x:v>Photography and imagery</x:v>
      </x:c>
      <x:c r="C208" s="107" t="str">
        <x:v>Brand decision</x:v>
      </x:c>
      <x:c r="D208" s="108" t="str">
        <x:v>Posed smiling guests</x:v>
      </x:c>
      <x:c r="E208" s="108" t="str">
        <x:v>Avoid as default</x:v>
      </x:c>
      <x:c r="F208" s="109" t="str">
        <x:v>Approve recommendation</x:v>
      </x:c>
      <x:c r="G208" s="110"/>
      <x:c r="H208" s="108" t="str">
        <x:f>IF(F208="Approve recommendation",E208,IF(F208="Modify / custom answer",G208,IF(F208="Reject","Rejected",IF(F208="Defer","Deferred",IF(F208="Needs evidence","Pending evidence","")))))</x:f>
        <x:v>Avoid as default</x:v>
      </x:c>
      <x:c r="I208" s="107" t="str">
        <x:f>IF(F208="","Pending",IF(F208="Approve recommendation","Approved",IF(F208="Modify / custom answer",IF(G208="","Action Required","Approved with modification"),IF(F208="Reject","Rejected",IF(F208="Defer","Deferred",IF(F208="Needs evidence","Evidence Required","Pending"))))))</x:f>
        <x:v>Approved</x:v>
      </x:c>
      <x:c r="J208" s="107" t="str">
        <x:v>High</x:v>
      </x:c>
      <x:c r="K208" s="110" t="str">
        <x:v>Design Custodian / Art Direction</x:v>
      </x:c>
      <x:c r="L208" s="110"/>
      <x:c r="M208" s="108" t="str">
        <x:v>No</x:v>
      </x:c>
      <x:c r="N208" s="108" t="str"/>
      <x:c r="O208" s="108" t="str">
        <x:v>V2 guideline + V2 audit</x:v>
      </x:c>
      <x:c r="P208" s="108" t="str">
        <x:v>SRC-01, SRC-02</x:v>
      </x:c>
      <x:c r="Q208" s="108" t="str"/>
      <x:c r="R208" s="108" t="str">
        <x:v>12 — Photography &amp; Art Direction</x:v>
      </x:c>
      <x:c r="S208" s="110" t="str">
        <x:v>ChatGPT prefill · 06 Oct 2026</x:v>
      </x:c>
    </x:row>
    <x:row r="209" ht="36" customHeight="1">
      <x:c r="A209" s="107" t="str">
        <x:v>O04</x:v>
      </x:c>
      <x:c r="B209" s="107" t="str">
        <x:v>Photography and imagery</x:v>
      </x:c>
      <x:c r="C209" s="107" t="str">
        <x:v>Brand decision</x:v>
      </x:c>
      <x:c r="D209" s="108" t="str">
        <x:v>Guest experience shown obliquely through hands, ritual, materials, thresholds</x:v>
      </x:c>
      <x:c r="E209" s="108" t="str">
        <x:v>Approve</x:v>
      </x:c>
      <x:c r="F209" s="109" t="str">
        <x:v>Approve recommendation</x:v>
      </x:c>
      <x:c r="G209" s="110"/>
      <x:c r="H209" s="108" t="str">
        <x:f>IF(F209="Approve recommendation",E209,IF(F209="Modify / custom answer",G209,IF(F209="Reject","Rejected",IF(F209="Defer","Deferred",IF(F209="Needs evidence","Pending evidence","")))))</x:f>
        <x:v>Approve</x:v>
      </x:c>
      <x:c r="I209" s="107" t="str">
        <x:f>IF(F209="","Pending",IF(F209="Approve recommendation","Approved",IF(F209="Modify / custom answer",IF(G209="","Action Required","Approved with modification"),IF(F209="Reject","Rejected",IF(F209="Defer","Deferred",IF(F209="Needs evidence","Evidence Required","Pending"))))))</x:f>
        <x:v>Approved</x:v>
      </x:c>
      <x:c r="J209" s="107" t="str">
        <x:v>High</x:v>
      </x:c>
      <x:c r="K209" s="110" t="str">
        <x:v>Design Custodian / Art Direction</x:v>
      </x:c>
      <x:c r="L209" s="110"/>
      <x:c r="M209" s="108" t="str">
        <x:v>No</x:v>
      </x:c>
      <x:c r="N209" s="108" t="str"/>
      <x:c r="O209" s="108" t="str">
        <x:v>V2 guideline + V2 audit</x:v>
      </x:c>
      <x:c r="P209" s="108" t="str">
        <x:v>SRC-01, SRC-02</x:v>
      </x:c>
      <x:c r="Q209" s="108" t="str"/>
      <x:c r="R209" s="108" t="str">
        <x:v>12 — Photography &amp; Art Direction</x:v>
      </x:c>
      <x:c r="S209" s="110" t="str">
        <x:v>ChatGPT prefill · 06 Oct 2026</x:v>
      </x:c>
    </x:row>
    <x:row r="210" ht="36" customHeight="1">
      <x:c r="A210" s="107" t="str">
        <x:v>O05</x:v>
      </x:c>
      <x:c r="B210" s="107" t="str">
        <x:v>Photography and imagery</x:v>
      </x:c>
      <x:c r="C210" s="107" t="str">
        <x:v>Brand decision</x:v>
      </x:c>
      <x:c r="D210" s="108" t="str">
        <x:v>Strong negative space</x:v>
      </x:c>
      <x:c r="E210" s="108" t="str">
        <x:v>Approve</x:v>
      </x:c>
      <x:c r="F210" s="109" t="str">
        <x:v>Approve recommendation</x:v>
      </x:c>
      <x:c r="G210" s="110"/>
      <x:c r="H210" s="108" t="str">
        <x:f>IF(F210="Approve recommendation",E210,IF(F210="Modify / custom answer",G210,IF(F210="Reject","Rejected",IF(F210="Defer","Deferred",IF(F210="Needs evidence","Pending evidence","")))))</x:f>
        <x:v>Approve</x:v>
      </x:c>
      <x:c r="I210" s="107" t="str">
        <x:f>IF(F210="","Pending",IF(F210="Approve recommendation","Approved",IF(F210="Modify / custom answer",IF(G210="","Action Required","Approved with modification"),IF(F210="Reject","Rejected",IF(F210="Defer","Deferred",IF(F210="Needs evidence","Evidence Required","Pending"))))))</x:f>
        <x:v>Approved</x:v>
      </x:c>
      <x:c r="J210" s="107" t="str">
        <x:v>High</x:v>
      </x:c>
      <x:c r="K210" s="110" t="str">
        <x:v>Design Custodian / Art Direction</x:v>
      </x:c>
      <x:c r="L210" s="110"/>
      <x:c r="M210" s="108" t="str">
        <x:v>No</x:v>
      </x:c>
      <x:c r="N210" s="108" t="str"/>
      <x:c r="O210" s="108" t="str">
        <x:v>V2 guideline + V2 audit</x:v>
      </x:c>
      <x:c r="P210" s="108" t="str">
        <x:v>SRC-01, SRC-02</x:v>
      </x:c>
      <x:c r="Q210" s="108" t="str"/>
      <x:c r="R210" s="108" t="str">
        <x:v>12 — Photography &amp; Art Direction</x:v>
      </x:c>
      <x:c r="S210" s="110" t="str">
        <x:v>ChatGPT prefill · 06 Oct 2026</x:v>
      </x:c>
    </x:row>
    <x:row r="211" ht="36" customHeight="1">
      <x:c r="A211" s="107" t="str">
        <x:v>O06</x:v>
      </x:c>
      <x:c r="B211" s="107" t="str">
        <x:v>Photography and imagery</x:v>
      </x:c>
      <x:c r="C211" s="107" t="str">
        <x:v>Brand decision</x:v>
      </x:c>
      <x:c r="D211" s="108" t="str">
        <x:v>Controlled single-source lighting</x:v>
      </x:c>
      <x:c r="E211" s="108" t="str">
        <x:v>Approve</x:v>
      </x:c>
      <x:c r="F211" s="109" t="str">
        <x:v>Approve recommendation</x:v>
      </x:c>
      <x:c r="G211" s="110"/>
      <x:c r="H211" s="108" t="str">
        <x:f>IF(F211="Approve recommendation",E211,IF(F211="Modify / custom answer",G211,IF(F211="Reject","Rejected",IF(F211="Defer","Deferred",IF(F211="Needs evidence","Pending evidence","")))))</x:f>
        <x:v>Approve</x:v>
      </x:c>
      <x:c r="I211" s="107" t="str">
        <x:f>IF(F211="","Pending",IF(F211="Approve recommendation","Approved",IF(F211="Modify / custom answer",IF(G211="","Action Required","Approved with modification"),IF(F211="Reject","Rejected",IF(F211="Defer","Deferred",IF(F211="Needs evidence","Evidence Required","Pending"))))))</x:f>
        <x:v>Approved</x:v>
      </x:c>
      <x:c r="J211" s="107" t="str">
        <x:v>High</x:v>
      </x:c>
      <x:c r="K211" s="110" t="str">
        <x:v>Design Custodian / Art Direction</x:v>
      </x:c>
      <x:c r="L211" s="110"/>
      <x:c r="M211" s="108" t="str">
        <x:v>No</x:v>
      </x:c>
      <x:c r="N211" s="108" t="str"/>
      <x:c r="O211" s="108" t="str">
        <x:v>V2 guideline + V2 audit</x:v>
      </x:c>
      <x:c r="P211" s="108" t="str">
        <x:v>SRC-01, SRC-02</x:v>
      </x:c>
      <x:c r="Q211" s="108" t="str"/>
      <x:c r="R211" s="108" t="str">
        <x:v>12 — Photography &amp; Art Direction</x:v>
      </x:c>
      <x:c r="S211" s="110" t="str">
        <x:v>ChatGPT prefill · 06 Oct 2026</x:v>
      </x:c>
    </x:row>
    <x:row r="212" ht="36" customHeight="1">
      <x:c r="A212" s="107" t="str">
        <x:v>O07</x:v>
      </x:c>
      <x:c r="B212" s="107" t="str">
        <x:v>Photography and imagery</x:v>
      </x:c>
      <x:c r="C212" s="107" t="str">
        <x:v>Brand decision</x:v>
      </x:c>
      <x:c r="D212" s="108" t="str">
        <x:v>Warm-neutral / near-monochrome grading</x:v>
      </x:c>
      <x:c r="E212" s="108" t="str">
        <x:v>Approve</x:v>
      </x:c>
      <x:c r="F212" s="109" t="str">
        <x:v>Approve recommendation</x:v>
      </x:c>
      <x:c r="G212" s="110"/>
      <x:c r="H212" s="108" t="str">
        <x:f>IF(F212="Approve recommendation",E212,IF(F212="Modify / custom answer",G212,IF(F212="Reject","Rejected",IF(F212="Defer","Deferred",IF(F212="Needs evidence","Pending evidence","")))))</x:f>
        <x:v>Approve</x:v>
      </x:c>
      <x:c r="I212" s="107" t="str">
        <x:f>IF(F212="","Pending",IF(F212="Approve recommendation","Approved",IF(F212="Modify / custom answer",IF(G212="","Action Required","Approved with modification"),IF(F212="Reject","Rejected",IF(F212="Defer","Deferred",IF(F212="Needs evidence","Evidence Required","Pending"))))))</x:f>
        <x:v>Approved</x:v>
      </x:c>
      <x:c r="J212" s="107" t="str">
        <x:v>High</x:v>
      </x:c>
      <x:c r="K212" s="110" t="str">
        <x:v>Design Custodian / Art Direction</x:v>
      </x:c>
      <x:c r="L212" s="110"/>
      <x:c r="M212" s="108" t="str">
        <x:v>No</x:v>
      </x:c>
      <x:c r="N212" s="108" t="str"/>
      <x:c r="O212" s="108" t="str">
        <x:v>V2 guideline + V2 audit</x:v>
      </x:c>
      <x:c r="P212" s="108" t="str">
        <x:v>SRC-01, SRC-02</x:v>
      </x:c>
      <x:c r="Q212" s="108" t="str"/>
      <x:c r="R212" s="108" t="str">
        <x:v>12 — Photography &amp; Art Direction</x:v>
      </x:c>
      <x:c r="S212" s="110" t="str">
        <x:v>ChatGPT prefill · 06 Oct 2026</x:v>
      </x:c>
    </x:row>
    <x:row r="213" ht="36" customHeight="1">
      <x:c r="A213" s="107" t="str">
        <x:v>O08</x:v>
      </x:c>
      <x:c r="B213" s="107" t="str">
        <x:v>Photography and imagery</x:v>
      </x:c>
      <x:c r="C213" s="107" t="str">
        <x:v>Brand decision</x:v>
      </x:c>
      <x:c r="D213" s="108" t="str">
        <x:v>Oversaturated imagery</x:v>
      </x:c>
      <x:c r="E213" s="108" t="str">
        <x:v>Prohibited</x:v>
      </x:c>
      <x:c r="F213" s="109" t="str">
        <x:v>Approve recommendation</x:v>
      </x:c>
      <x:c r="G213" s="110"/>
      <x:c r="H213" s="108" t="str">
        <x:f>IF(F213="Approve recommendation",E213,IF(F213="Modify / custom answer",G213,IF(F213="Reject","Rejected",IF(F213="Defer","Deferred",IF(F213="Needs evidence","Pending evidence","")))))</x:f>
        <x:v>Prohibited</x:v>
      </x:c>
      <x:c r="I213" s="107" t="str">
        <x:f>IF(F213="","Pending",IF(F213="Approve recommendation","Approved",IF(F213="Modify / custom answer",IF(G213="","Action Required","Approved with modification"),IF(F213="Reject","Rejected",IF(F213="Defer","Deferred",IF(F213="Needs evidence","Evidence Required","Pending"))))))</x:f>
        <x:v>Approved</x:v>
      </x:c>
      <x:c r="J213" s="107" t="str">
        <x:v>High</x:v>
      </x:c>
      <x:c r="K213" s="110" t="str">
        <x:v>Design Custodian / Art Direction</x:v>
      </x:c>
      <x:c r="L213" s="110"/>
      <x:c r="M213" s="108" t="str">
        <x:v>No</x:v>
      </x:c>
      <x:c r="N213" s="108" t="str"/>
      <x:c r="O213" s="108" t="str">
        <x:v>V2 guideline + V2 audit</x:v>
      </x:c>
      <x:c r="P213" s="108" t="str">
        <x:v>SRC-01, SRC-02</x:v>
      </x:c>
      <x:c r="Q213" s="108" t="str"/>
      <x:c r="R213" s="108" t="str">
        <x:v>12 — Photography &amp; Art Direction</x:v>
      </x:c>
      <x:c r="S213" s="110" t="str">
        <x:v>ChatGPT prefill · 06 Oct 2026</x:v>
      </x:c>
    </x:row>
    <x:row r="214" ht="36" customHeight="1">
      <x:c r="A214" s="107" t="str">
        <x:v>O09</x:v>
      </x:c>
      <x:c r="B214" s="107" t="str">
        <x:v>Photography and imagery</x:v>
      </x:c>
      <x:c r="C214" s="107" t="str">
        <x:v>Brand decision</x:v>
      </x:c>
      <x:c r="D214" s="108" t="str">
        <x:v>Trendy social-media filters</x:v>
      </x:c>
      <x:c r="E214" s="108" t="str">
        <x:v>Prohibited</x:v>
      </x:c>
      <x:c r="F214" s="109" t="str">
        <x:v>Approve recommendation</x:v>
      </x:c>
      <x:c r="G214" s="110"/>
      <x:c r="H214" s="108" t="str">
        <x:f>IF(F214="Approve recommendation",E214,IF(F214="Modify / custom answer",G214,IF(F214="Reject","Rejected",IF(F214="Defer","Deferred",IF(F214="Needs evidence","Pending evidence","")))))</x:f>
        <x:v>Prohibited</x:v>
      </x:c>
      <x:c r="I214" s="107" t="str">
        <x:f>IF(F214="","Pending",IF(F214="Approve recommendation","Approved",IF(F214="Modify / custom answer",IF(G214="","Action Required","Approved with modification"),IF(F214="Reject","Rejected",IF(F214="Defer","Deferred",IF(F214="Needs evidence","Evidence Required","Pending"))))))</x:f>
        <x:v>Approved</x:v>
      </x:c>
      <x:c r="J214" s="107" t="str">
        <x:v>High</x:v>
      </x:c>
      <x:c r="K214" s="110" t="str">
        <x:v>Design Custodian / Art Direction</x:v>
      </x:c>
      <x:c r="L214" s="110"/>
      <x:c r="M214" s="108" t="str">
        <x:v>No</x:v>
      </x:c>
      <x:c r="N214" s="108" t="str"/>
      <x:c r="O214" s="108" t="str">
        <x:v>V2 guideline + V2 audit</x:v>
      </x:c>
      <x:c r="P214" s="108" t="str">
        <x:v>SRC-01, SRC-02</x:v>
      </x:c>
      <x:c r="Q214" s="108" t="str"/>
      <x:c r="R214" s="108" t="str">
        <x:v>12 — Photography &amp; Art Direction</x:v>
      </x:c>
      <x:c r="S214" s="110" t="str">
        <x:v>ChatGPT prefill · 06 Oct 2026</x:v>
      </x:c>
    </x:row>
    <x:row r="215" ht="36" customHeight="1">
      <x:c r="A215" s="107" t="str">
        <x:v>O10</x:v>
      </x:c>
      <x:c r="B215" s="107" t="str">
        <x:v>Photography and imagery</x:v>
      </x:c>
      <x:c r="C215" s="107" t="str">
        <x:v>Brand decision</x:v>
      </x:c>
      <x:c r="D215" s="108" t="str">
        <x:v>Artificial glow</x:v>
      </x:c>
      <x:c r="E215" s="108" t="str">
        <x:v>Avoid</x:v>
      </x:c>
      <x:c r="F215" s="109" t="str">
        <x:v>Approve recommendation</x:v>
      </x:c>
      <x:c r="G215" s="110"/>
      <x:c r="H215" s="108" t="str">
        <x:f>IF(F215="Approve recommendation",E215,IF(F215="Modify / custom answer",G215,IF(F215="Reject","Rejected",IF(F215="Defer","Deferred",IF(F215="Needs evidence","Pending evidence","")))))</x:f>
        <x:v>Avoid</x:v>
      </x:c>
      <x:c r="I215" s="107" t="str">
        <x:f>IF(F215="","Pending",IF(F215="Approve recommendation","Approved",IF(F215="Modify / custom answer",IF(G215="","Action Required","Approved with modification"),IF(F215="Reject","Rejected",IF(F215="Defer","Deferred",IF(F215="Needs evidence","Evidence Required","Pending"))))))</x:f>
        <x:v>Approved</x:v>
      </x:c>
      <x:c r="J215" s="107" t="str">
        <x:v>High</x:v>
      </x:c>
      <x:c r="K215" s="110" t="str">
        <x:v>Design Custodian / Art Direction</x:v>
      </x:c>
      <x:c r="L215" s="110"/>
      <x:c r="M215" s="108" t="str">
        <x:v>No</x:v>
      </x:c>
      <x:c r="N215" s="108" t="str"/>
      <x:c r="O215" s="108" t="str">
        <x:v>V2 guideline + V2 audit</x:v>
      </x:c>
      <x:c r="P215" s="108" t="str">
        <x:v>SRC-01, SRC-02</x:v>
      </x:c>
      <x:c r="Q215" s="108" t="str"/>
      <x:c r="R215" s="108" t="str">
        <x:v>12 — Photography &amp; Art Direction</x:v>
      </x:c>
      <x:c r="S215" s="110" t="str">
        <x:v>ChatGPT prefill · 06 Oct 2026</x:v>
      </x:c>
    </x:row>
    <x:row r="216" ht="36" customHeight="1">
      <x:c r="A216" s="107" t="str">
        <x:v>O11</x:v>
      </x:c>
      <x:c r="B216" s="107" t="str">
        <x:v>Photography and imagery</x:v>
      </x:c>
      <x:c r="C216" s="107" t="str">
        <x:v>Brand decision</x:v>
      </x:c>
      <x:c r="D216" s="108" t="str">
        <x:v>Require architectural imagery category?</x:v>
      </x:c>
      <x:c r="E216" s="108" t="str">
        <x:v>Yes</x:v>
      </x:c>
      <x:c r="F216" s="109" t="str">
        <x:v>Approve recommendation</x:v>
      </x:c>
      <x:c r="G216" s="110"/>
      <x:c r="H216" s="108" t="str">
        <x:f>IF(F216="Approve recommendation",E216,IF(F216="Modify / custom answer",G216,IF(F216="Reject","Rejected",IF(F216="Defer","Deferred",IF(F216="Needs evidence","Pending evidence","")))))</x:f>
        <x:v>Yes</x:v>
      </x:c>
      <x:c r="I216" s="107" t="str">
        <x:f>IF(F216="","Pending",IF(F216="Approve recommendation","Approved",IF(F216="Modify / custom answer",IF(G216="","Action Required","Approved with modification"),IF(F216="Reject","Rejected",IF(F216="Defer","Deferred",IF(F216="Needs evidence","Evidence Required","Pending"))))))</x:f>
        <x:v>Approved</x:v>
      </x:c>
      <x:c r="J216" s="107" t="str">
        <x:v>High</x:v>
      </x:c>
      <x:c r="K216" s="110" t="str">
        <x:v>Design Custodian / Art Direction</x:v>
      </x:c>
      <x:c r="L216" s="110"/>
      <x:c r="M216" s="108" t="str">
        <x:v>No</x:v>
      </x:c>
      <x:c r="N216" s="108" t="str"/>
      <x:c r="O216" s="108" t="str">
        <x:v>V2 guideline + V2 audit</x:v>
      </x:c>
      <x:c r="P216" s="108" t="str">
        <x:v>SRC-01, SRC-02</x:v>
      </x:c>
      <x:c r="Q216" s="108" t="str"/>
      <x:c r="R216" s="108" t="str">
        <x:v>12 — Photography &amp; Art Direction</x:v>
      </x:c>
      <x:c r="S216" s="110" t="str">
        <x:v>ChatGPT prefill · 06 Oct 2026</x:v>
      </x:c>
    </x:row>
    <x:row r="217" ht="36" customHeight="1">
      <x:c r="A217" s="107" t="str">
        <x:v>O12</x:v>
      </x:c>
      <x:c r="B217" s="107" t="str">
        <x:v>Photography and imagery</x:v>
      </x:c>
      <x:c r="C217" s="107" t="str">
        <x:v>Brand decision</x:v>
      </x:c>
      <x:c r="D217" s="108" t="str">
        <x:v>Require material-detail category?</x:v>
      </x:c>
      <x:c r="E217" s="108" t="str">
        <x:v>Yes</x:v>
      </x:c>
      <x:c r="F217" s="109" t="str">
        <x:v>Approve recommendation</x:v>
      </x:c>
      <x:c r="G217" s="110"/>
      <x:c r="H217" s="108" t="str">
        <x:f>IF(F217="Approve recommendation",E217,IF(F217="Modify / custom answer",G217,IF(F217="Reject","Rejected",IF(F217="Defer","Deferred",IF(F217="Needs evidence","Pending evidence","")))))</x:f>
        <x:v>Yes</x:v>
      </x:c>
      <x:c r="I217" s="107" t="str">
        <x:f>IF(F217="","Pending",IF(F217="Approve recommendation","Approved",IF(F217="Modify / custom answer",IF(G217="","Action Required","Approved with modification"),IF(F217="Reject","Rejected",IF(F217="Defer","Deferred",IF(F217="Needs evidence","Evidence Required","Pending"))))))</x:f>
        <x:v>Approved</x:v>
      </x:c>
      <x:c r="J217" s="107" t="str">
        <x:v>High</x:v>
      </x:c>
      <x:c r="K217" s="110" t="str">
        <x:v>Design Custodian / Art Direction</x:v>
      </x:c>
      <x:c r="L217" s="110"/>
      <x:c r="M217" s="108" t="str">
        <x:v>No</x:v>
      </x:c>
      <x:c r="N217" s="108" t="str"/>
      <x:c r="O217" s="108" t="str">
        <x:v>V2 guideline + V2 audit</x:v>
      </x:c>
      <x:c r="P217" s="108" t="str">
        <x:v>SRC-01, SRC-02</x:v>
      </x:c>
      <x:c r="Q217" s="108" t="str"/>
      <x:c r="R217" s="108" t="str">
        <x:v>12 — Photography &amp; Art Direction</x:v>
      </x:c>
      <x:c r="S217" s="110" t="str">
        <x:v>ChatGPT prefill · 06 Oct 2026</x:v>
      </x:c>
    </x:row>
    <x:row r="218" ht="36" customHeight="1">
      <x:c r="A218" s="107" t="str">
        <x:v>O13</x:v>
      </x:c>
      <x:c r="B218" s="107" t="str">
        <x:v>Photography and imagery</x:v>
      </x:c>
      <x:c r="C218" s="107" t="str">
        <x:v>Brand decision</x:v>
      </x:c>
      <x:c r="D218" s="108" t="str">
        <x:v>Require arrival/threshold category?</x:v>
      </x:c>
      <x:c r="E218" s="108" t="str">
        <x:v>Yes</x:v>
      </x:c>
      <x:c r="F218" s="109" t="str">
        <x:v>Approve recommendation</x:v>
      </x:c>
      <x:c r="G218" s="110"/>
      <x:c r="H218" s="108" t="str">
        <x:f>IF(F218="Approve recommendation",E218,IF(F218="Modify / custom answer",G218,IF(F218="Reject","Rejected",IF(F218="Defer","Deferred",IF(F218="Needs evidence","Pending evidence","")))))</x:f>
        <x:v>Yes</x:v>
      </x:c>
      <x:c r="I218" s="107" t="str">
        <x:f>IF(F218="","Pending",IF(F218="Approve recommendation","Approved",IF(F218="Modify / custom answer",IF(G218="","Action Required","Approved with modification"),IF(F218="Reject","Rejected",IF(F218="Defer","Deferred",IF(F218="Needs evidence","Evidence Required","Pending"))))))</x:f>
        <x:v>Approved</x:v>
      </x:c>
      <x:c r="J218" s="107" t="str">
        <x:v>High</x:v>
      </x:c>
      <x:c r="K218" s="110" t="str">
        <x:v>Design Custodian / Art Direction</x:v>
      </x:c>
      <x:c r="L218" s="110"/>
      <x:c r="M218" s="108" t="str">
        <x:v>No</x:v>
      </x:c>
      <x:c r="N218" s="108" t="str"/>
      <x:c r="O218" s="108" t="str">
        <x:v>V2 guideline + V2 audit</x:v>
      </x:c>
      <x:c r="P218" s="108" t="str">
        <x:v>SRC-01, SRC-02</x:v>
      </x:c>
      <x:c r="Q218" s="108" t="str"/>
      <x:c r="R218" s="108" t="str">
        <x:v>12 — Photography &amp; Art Direction</x:v>
      </x:c>
      <x:c r="S218" s="110" t="str">
        <x:v>ChatGPT prefill · 06 Oct 2026</x:v>
      </x:c>
    </x:row>
    <x:row r="219" ht="36" customHeight="1">
      <x:c r="A219" s="107" t="str">
        <x:v>O14</x:v>
      </x:c>
      <x:c r="B219" s="107" t="str">
        <x:v>Photography and imagery</x:v>
      </x:c>
      <x:c r="C219" s="107" t="str">
        <x:v>Brand decision</x:v>
      </x:c>
      <x:c r="D219" s="108" t="str">
        <x:v>Require dining category?</x:v>
      </x:c>
      <x:c r="E219" s="108" t="str">
        <x:v>Yes if relevant</x:v>
      </x:c>
      <x:c r="F219" s="109" t="str">
        <x:v>Approve recommendation</x:v>
      </x:c>
      <x:c r="G219" s="110"/>
      <x:c r="H219" s="108" t="str">
        <x:f>IF(F219="Approve recommendation",E219,IF(F219="Modify / custom answer",G219,IF(F219="Reject","Rejected",IF(F219="Defer","Deferred",IF(F219="Needs evidence","Pending evidence","")))))</x:f>
        <x:v>Yes if relevant</x:v>
      </x:c>
      <x:c r="I219" s="107" t="str">
        <x:f>IF(F219="","Pending",IF(F219="Approve recommendation","Approved",IF(F219="Modify / custom answer",IF(G219="","Action Required","Approved with modification"),IF(F219="Reject","Rejected",IF(F219="Defer","Deferred",IF(F219="Needs evidence","Evidence Required","Pending"))))))</x:f>
        <x:v>Approved</x:v>
      </x:c>
      <x:c r="J219" s="107" t="str">
        <x:v>High</x:v>
      </x:c>
      <x:c r="K219" s="110" t="str">
        <x:v>Design Custodian / Art Direction</x:v>
      </x:c>
      <x:c r="L219" s="110"/>
      <x:c r="M219" s="108" t="str">
        <x:v>No</x:v>
      </x:c>
      <x:c r="N219" s="108" t="str"/>
      <x:c r="O219" s="108" t="str">
        <x:v>V2 guideline + V2 audit</x:v>
      </x:c>
      <x:c r="P219" s="108" t="str">
        <x:v>SRC-01, SRC-02</x:v>
      </x:c>
      <x:c r="Q219" s="108" t="str"/>
      <x:c r="R219" s="108" t="str">
        <x:v>12 — Photography &amp; Art Direction</x:v>
      </x:c>
      <x:c r="S219" s="110" t="str">
        <x:v>ChatGPT prefill · 06 Oct 2026</x:v>
      </x:c>
    </x:row>
    <x:row r="220" ht="36" customHeight="1">
      <x:c r="A220" s="107" t="str">
        <x:v>O15</x:v>
      </x:c>
      <x:c r="B220" s="107" t="str">
        <x:v>Photography and imagery</x:v>
      </x:c>
      <x:c r="C220" s="107" t="str">
        <x:v>Brand decision</x:v>
      </x:c>
      <x:c r="D220" s="108" t="str">
        <x:v>Require amenities/product category?</x:v>
      </x:c>
      <x:c r="E220" s="108" t="str">
        <x:v>Yes</x:v>
      </x:c>
      <x:c r="F220" s="109" t="str">
        <x:v>Approve recommendation</x:v>
      </x:c>
      <x:c r="G220" s="110"/>
      <x:c r="H220" s="108" t="str">
        <x:f>IF(F220="Approve recommendation",E220,IF(F220="Modify / custom answer",G220,IF(F220="Reject","Rejected",IF(F220="Defer","Deferred",IF(F220="Needs evidence","Pending evidence","")))))</x:f>
        <x:v>Yes</x:v>
      </x:c>
      <x:c r="I220" s="107" t="str">
        <x:f>IF(F220="","Pending",IF(F220="Approve recommendation","Approved",IF(F220="Modify / custom answer",IF(G220="","Action Required","Approved with modification"),IF(F220="Reject","Rejected",IF(F220="Defer","Deferred",IF(F220="Needs evidence","Evidence Required","Pending"))))))</x:f>
        <x:v>Approved</x:v>
      </x:c>
      <x:c r="J220" s="107" t="str">
        <x:v>High</x:v>
      </x:c>
      <x:c r="K220" s="110" t="str">
        <x:v>Design Custodian / Art Direction</x:v>
      </x:c>
      <x:c r="L220" s="110"/>
      <x:c r="M220" s="108" t="str">
        <x:v>No</x:v>
      </x:c>
      <x:c r="N220" s="108" t="str"/>
      <x:c r="O220" s="108" t="str">
        <x:v>V2 guideline + V2 audit</x:v>
      </x:c>
      <x:c r="P220" s="108" t="str">
        <x:v>SRC-01, SRC-02</x:v>
      </x:c>
      <x:c r="Q220" s="108" t="str"/>
      <x:c r="R220" s="108" t="str">
        <x:v>12 — Photography &amp; Art Direction</x:v>
      </x:c>
      <x:c r="S220" s="110" t="str">
        <x:v>ChatGPT prefill · 06 Oct 2026</x:v>
      </x:c>
    </x:row>
    <x:row r="221" ht="36" customHeight="1">
      <x:c r="A221" s="107" t="str">
        <x:v>O16</x:v>
      </x:c>
      <x:c r="B221" s="107" t="str">
        <x:v>Photography and imagery</x:v>
      </x:c>
      <x:c r="C221" s="107" t="str">
        <x:v>Brand decision</x:v>
      </x:c>
      <x:c r="D221" s="108" t="str">
        <x:v>Require staff/service category?</x:v>
      </x:c>
      <x:c r="E221" s="108" t="str">
        <x:v>Yes if relevant</x:v>
      </x:c>
      <x:c r="F221" s="109" t="str">
        <x:v>Approve recommendation</x:v>
      </x:c>
      <x:c r="G221" s="110"/>
      <x:c r="H221" s="108" t="str">
        <x:f>IF(F221="Approve recommendation",E221,IF(F221="Modify / custom answer",G221,IF(F221="Reject","Rejected",IF(F221="Defer","Deferred",IF(F221="Needs evidence","Pending evidence","")))))</x:f>
        <x:v>Yes if relevant</x:v>
      </x:c>
      <x:c r="I221" s="107" t="str">
        <x:f>IF(F221="","Pending",IF(F221="Approve recommendation","Approved",IF(F221="Modify / custom answer",IF(G221="","Action Required","Approved with modification"),IF(F221="Reject","Rejected",IF(F221="Defer","Deferred",IF(F221="Needs evidence","Evidence Required","Pending"))))))</x:f>
        <x:v>Approved</x:v>
      </x:c>
      <x:c r="J221" s="107" t="str">
        <x:v>High</x:v>
      </x:c>
      <x:c r="K221" s="110" t="str">
        <x:v>Design Custodian / Art Direction</x:v>
      </x:c>
      <x:c r="L221" s="110"/>
      <x:c r="M221" s="108" t="str">
        <x:v>No</x:v>
      </x:c>
      <x:c r="N221" s="108" t="str"/>
      <x:c r="O221" s="108" t="str">
        <x:v>V2 guideline + V2 audit</x:v>
      </x:c>
      <x:c r="P221" s="108" t="str">
        <x:v>SRC-01, SRC-02</x:v>
      </x:c>
      <x:c r="Q221" s="108" t="str"/>
      <x:c r="R221" s="108" t="str">
        <x:v>12 — Photography &amp; Art Direction</x:v>
      </x:c>
      <x:c r="S221" s="110" t="str">
        <x:v>ChatGPT prefill · 06 Oct 2026</x:v>
      </x:c>
    </x:row>
    <x:row r="222" ht="36" customHeight="1">
      <x:c r="A222" s="107" t="str">
        <x:v>O17</x:v>
      </x:c>
      <x:c r="B222" s="107" t="str">
        <x:v>Photography and imagery</x:v>
      </x:c>
      <x:c r="C222" s="107" t="str">
        <x:v>Brand decision</x:v>
      </x:c>
      <x:c r="D222" s="108" t="str">
        <x:v>Should V3.0 distinguish real photography from concept renders/mockups?</x:v>
      </x:c>
      <x:c r="E222" s="108" t="str">
        <x:v>Yes</x:v>
      </x:c>
      <x:c r="F222" s="109" t="str">
        <x:v>Approve recommendation</x:v>
      </x:c>
      <x:c r="G222" s="110"/>
      <x:c r="H222" s="108" t="str">
        <x:f>IF(F222="Approve recommendation",E222,IF(F222="Modify / custom answer",G222,IF(F222="Reject","Rejected",IF(F222="Defer","Deferred",IF(F222="Needs evidence","Pending evidence","")))))</x:f>
        <x:v>Yes</x:v>
      </x:c>
      <x:c r="I222" s="107" t="str">
        <x:f>IF(F222="","Pending",IF(F222="Approve recommendation","Approved",IF(F222="Modify / custom answer",IF(G222="","Action Required","Approved with modification"),IF(F222="Reject","Rejected",IF(F222="Defer","Deferred",IF(F222="Needs evidence","Evidence Required","Pending"))))))</x:f>
        <x:v>Approved</x:v>
      </x:c>
      <x:c r="J222" s="107" t="str">
        <x:v>High</x:v>
      </x:c>
      <x:c r="K222" s="110" t="str">
        <x:v>Design Custodian / Art Direction</x:v>
      </x:c>
      <x:c r="L222" s="110"/>
      <x:c r="M222" s="108" t="str">
        <x:v>No</x:v>
      </x:c>
      <x:c r="N222" s="108" t="str"/>
      <x:c r="O222" s="108" t="str">
        <x:v>V2 guideline + V2 audit</x:v>
      </x:c>
      <x:c r="P222" s="108" t="str">
        <x:v>SRC-01, SRC-02</x:v>
      </x:c>
      <x:c r="Q222" s="108" t="str"/>
      <x:c r="R222" s="108" t="str">
        <x:v>12 — Photography &amp; Art Direction</x:v>
      </x:c>
      <x:c r="S222" s="110" t="str">
        <x:v>ChatGPT prefill · 06 Oct 2026</x:v>
      </x:c>
    </x:row>
    <x:row r="223" ht="36" customHeight="1">
      <x:c r="A223" s="107" t="str">
        <x:v>O18</x:v>
      </x:c>
      <x:c r="B223" s="107" t="str">
        <x:v>Photography and imagery</x:v>
      </x:c>
      <x:c r="C223" s="107" t="str">
        <x:v>Brand decision</x:v>
      </x:c>
      <x:c r="D223" s="108" t="str">
        <x:v>Require image rights/license metadata?</x:v>
      </x:c>
      <x:c r="E223" s="108" t="str">
        <x:v>Yes</x:v>
      </x:c>
      <x:c r="F223" s="109" t="str">
        <x:v>Approve recommendation</x:v>
      </x:c>
      <x:c r="G223" s="110"/>
      <x:c r="H223" s="108" t="str">
        <x:f>IF(F223="Approve recommendation",E223,IF(F223="Modify / custom answer",G223,IF(F223="Reject","Rejected",IF(F223="Defer","Deferred",IF(F223="Needs evidence","Pending evidence","")))))</x:f>
        <x:v>Yes</x:v>
      </x:c>
      <x:c r="I223" s="107" t="str">
        <x:f>IF(F223="","Pending",IF(F223="Approve recommendation","Approved",IF(F223="Modify / custom answer",IF(G223="","Action Required","Approved with modification"),IF(F223="Reject","Rejected",IF(F223="Defer","Deferred",IF(F223="Needs evidence","Evidence Required","Pending"))))))</x:f>
        <x:v>Approved</x:v>
      </x:c>
      <x:c r="J223" s="107" t="str">
        <x:v>High</x:v>
      </x:c>
      <x:c r="K223" s="110" t="str">
        <x:v>Design Custodian / Art Direction + Legal / IP Counsel</x:v>
      </x:c>
      <x:c r="L223" s="110"/>
      <x:c r="M223" s="108" t="str">
        <x:v>Yes</x:v>
      </x:c>
      <x:c r="N223" s="108" t="str"/>
      <x:c r="O223" s="108" t="str">
        <x:v>V2 guideline + V2 audit</x:v>
      </x:c>
      <x:c r="P223" s="108" t="str">
        <x:v>SRC-01, SRC-02</x:v>
      </x:c>
      <x:c r="Q223" s="108" t="str"/>
      <x:c r="R223" s="108" t="str">
        <x:v>12 — Photography &amp; Art Direction</x:v>
      </x:c>
      <x:c r="S223" s="110" t="str">
        <x:v>ChatGPT prefill · 06 Oct 2026</x:v>
      </x:c>
    </x:row>
    <x:row r="224" ht="36" customHeight="1">
      <x:c r="A224" s="107" t="str">
        <x:v>O19</x:v>
      </x:c>
      <x:c r="B224" s="107" t="str">
        <x:v>Photography and imagery</x:v>
      </x:c>
      <x:c r="C224" s="107" t="str">
        <x:v>Brand decision</x:v>
      </x:c>
      <x:c r="D224" s="108" t="str">
        <x:v>Commission a dedicated GEM photography library?</x:v>
      </x:c>
      <x:c r="E224" s="108" t="str">
        <x:v>Recommended</x:v>
      </x:c>
      <x:c r="F224" s="109" t="str">
        <x:v>Modify / custom answer</x:v>
      </x:c>
      <x:c r="G224" s="110" t="str">
        <x:v>Yes — commission and curate a dedicated rights-cleared GEM photography library before the final V3.0 launch.</x:v>
      </x:c>
      <x:c r="H224" s="108" t="str">
        <x:f>IF(F224="Approve recommendation",E224,IF(F224="Modify / custom answer",G224,IF(F224="Reject","Rejected",IF(F224="Defer","Deferred",IF(F224="Needs evidence","Pending evidence","")))))</x:f>
        <x:v>Yes — commission and curate a dedicated rights-cleared GEM photography library before the final V3.0 launch.</x:v>
      </x:c>
      <x:c r="I224" s="107" t="str">
        <x:f>IF(F224="","Pending",IF(F224="Approve recommendation","Approved",IF(F224="Modify / custom answer",IF(G224="","Action Required","Approved with modification"),IF(F224="Reject","Rejected",IF(F224="Defer","Deferred",IF(F224="Needs evidence","Evidence Required","Pending"))))))</x:f>
        <x:v>Approved with modification</x:v>
      </x:c>
      <x:c r="J224" s="107" t="str">
        <x:v>High</x:v>
      </x:c>
      <x:c r="K224" s="110" t="str">
        <x:v>Design Custodian / Art Direction</x:v>
      </x:c>
      <x:c r="L224" s="110" t="str">
        <x:v>Approved as the V3.0 consultant recommendation, grounded in the current GEM source system and best-practice review.</x:v>
      </x:c>
      <x:c r="M224" s="108" t="str">
        <x:v>No</x:v>
      </x:c>
      <x:c r="N224" s="108" t="str"/>
      <x:c r="O224" s="108" t="str">
        <x:v>V2 guideline + V2 audit</x:v>
      </x:c>
      <x:c r="P224" s="108" t="str">
        <x:v>SRC-01, SRC-02</x:v>
      </x:c>
      <x:c r="Q224" s="108" t="str"/>
      <x:c r="R224" s="108" t="str">
        <x:v>12 — Photography &amp; Art Direction</x:v>
      </x:c>
      <x:c r="S224" s="110" t="str">
        <x:v>ChatGPT prefill · 06 Oct 2026</x:v>
      </x:c>
    </x:row>
    <x:row r="225" ht="36" customHeight="1">
      <x:c r="A225" s="107" t="str">
        <x:v>O20</x:v>
      </x:c>
      <x:c r="B225" s="107" t="str">
        <x:v>Photography and imagery</x:v>
      </x:c>
      <x:c r="C225" s="107" t="str">
        <x:v>Brand decision</x:v>
      </x:c>
      <x:c r="D225" s="108" t="str">
        <x:v>Should V3.0 contain approved do/don’t crops?</x:v>
      </x:c>
      <x:c r="E225" s="108" t="str">
        <x:v>Yes</x:v>
      </x:c>
      <x:c r="F225" s="109" t="str">
        <x:v>Approve recommendation</x:v>
      </x:c>
      <x:c r="G225" s="110"/>
      <x:c r="H225" s="108" t="str">
        <x:f>IF(F225="Approve recommendation",E225,IF(F225="Modify / custom answer",G225,IF(F225="Reject","Rejected",IF(F225="Defer","Deferred",IF(F225="Needs evidence","Pending evidence","")))))</x:f>
        <x:v>Yes</x:v>
      </x:c>
      <x:c r="I225" s="107" t="str">
        <x:f>IF(F225="","Pending",IF(F225="Approve recommendation","Approved",IF(F225="Modify / custom answer",IF(G225="","Action Required","Approved with modification"),IF(F225="Reject","Rejected",IF(F225="Defer","Deferred",IF(F225="Needs evidence","Evidence Required","Pending"))))))</x:f>
        <x:v>Approved</x:v>
      </x:c>
      <x:c r="J225" s="107" t="str">
        <x:v>High</x:v>
      </x:c>
      <x:c r="K225" s="110" t="str">
        <x:v>Design Custodian / Art Direction</x:v>
      </x:c>
      <x:c r="L225" s="110"/>
      <x:c r="M225" s="108" t="str">
        <x:v>No</x:v>
      </x:c>
      <x:c r="N225" s="108" t="str"/>
      <x:c r="O225" s="108" t="str">
        <x:v>V2 guideline + V2 audit</x:v>
      </x:c>
      <x:c r="P225" s="108" t="str">
        <x:v>SRC-01, SRC-02</x:v>
      </x:c>
      <x:c r="Q225" s="108" t="str"/>
      <x:c r="R225" s="108" t="str">
        <x:v>12 — Photography &amp; Art Direction</x:v>
      </x:c>
      <x:c r="S225" s="110" t="str">
        <x:v>ChatGPT prefill · 06 Oct 2026</x:v>
      </x:c>
    </x:row>
    <x:row r="226" ht="36" customHeight="1">
      <x:c r="A226" s="107" t="str">
        <x:v>P01</x:v>
      </x:c>
      <x:c r="B226" s="107" t="str">
        <x:v>Motion</x:v>
      </x:c>
      <x:c r="C226" s="107" t="str">
        <x:v>Brand decision</x:v>
      </x:c>
      <x:c r="D226" s="108" t="str">
        <x:v>Core sequence: Ring draws → Spark flashes → Quarter fills</x:v>
      </x:c>
      <x:c r="E226" s="108" t="str">
        <x:v>Approve</x:v>
      </x:c>
      <x:c r="F226" s="109" t="str">
        <x:v>Approve recommendation</x:v>
      </x:c>
      <x:c r="G226" s="110"/>
      <x:c r="H226" s="108" t="str">
        <x:f>IF(F226="Approve recommendation",E226,IF(F226="Modify / custom answer",G226,IF(F226="Reject","Rejected",IF(F226="Defer","Deferred",IF(F226="Needs evidence","Pending evidence","")))))</x:f>
        <x:v>Approve</x:v>
      </x:c>
      <x:c r="I226" s="107" t="str">
        <x:f>IF(F226="","Pending",IF(F226="Approve recommendation","Approved",IF(F226="Modify / custom answer",IF(G226="","Action Required","Approved with modification"),IF(F226="Reject","Rejected",IF(F226="Defer","Deferred",IF(F226="Needs evidence","Evidence Required","Pending"))))))</x:f>
        <x:v>Approved</x:v>
      </x:c>
      <x:c r="J226" s="107" t="str">
        <x:v>High</x:v>
      </x:c>
      <x:c r="K226" s="110" t="str">
        <x:v>Digital Design Lead</x:v>
      </x:c>
      <x:c r="L226" s="110"/>
      <x:c r="M226" s="108" t="str">
        <x:v>No</x:v>
      </x:c>
      <x:c r="N226" s="108" t="str"/>
      <x:c r="O226" s="108" t="str">
        <x:v>V2 guideline</x:v>
      </x:c>
      <x:c r="P226" s="108" t="str">
        <x:v>SRC-01</x:v>
      </x:c>
      <x:c r="Q226" s="108" t="str"/>
      <x:c r="R226" s="108" t="str">
        <x:v>13 — Motion</x:v>
      </x:c>
      <x:c r="S226" s="110" t="str">
        <x:v>ChatGPT prefill · 06 Oct 2026</x:v>
      </x:c>
    </x:row>
    <x:row r="227" ht="36" customHeight="1">
      <x:c r="A227" s="107" t="str">
        <x:v>P02</x:v>
      </x:c>
      <x:c r="B227" s="107" t="str">
        <x:v>Motion</x:v>
      </x:c>
      <x:c r="C227" s="107" t="str">
        <x:v>Brand decision</x:v>
      </x:c>
      <x:c r="D227" s="108" t="str">
        <x:v>Approximate duration</x:v>
      </x:c>
      <x:c r="E227" s="108" t="str">
        <x:v>≈1.5 seconds</x:v>
      </x:c>
      <x:c r="F227" s="109" t="str">
        <x:v>Approve recommendation</x:v>
      </x:c>
      <x:c r="G227" s="110"/>
      <x:c r="H227" s="108" t="str">
        <x:f>IF(F227="Approve recommendation",E227,IF(F227="Modify / custom answer",G227,IF(F227="Reject","Rejected",IF(F227="Defer","Deferred",IF(F227="Needs evidence","Pending evidence","")))))</x:f>
        <x:v>≈1.5 seconds</x:v>
      </x:c>
      <x:c r="I227" s="107" t="str">
        <x:f>IF(F227="","Pending",IF(F227="Approve recommendation","Approved",IF(F227="Modify / custom answer",IF(G227="","Action Required","Approved with modification"),IF(F227="Reject","Rejected",IF(F227="Defer","Deferred",IF(F227="Needs evidence","Evidence Required","Pending"))))))</x:f>
        <x:v>Approved</x:v>
      </x:c>
      <x:c r="J227" s="107" t="str">
        <x:v>High</x:v>
      </x:c>
      <x:c r="K227" s="110" t="str">
        <x:v>Digital Design Lead</x:v>
      </x:c>
      <x:c r="L227" s="110"/>
      <x:c r="M227" s="108" t="str">
        <x:v>No</x:v>
      </x:c>
      <x:c r="N227" s="108" t="str"/>
      <x:c r="O227" s="108" t="str">
        <x:v>V2 guideline</x:v>
      </x:c>
      <x:c r="P227" s="108" t="str">
        <x:v>SRC-01</x:v>
      </x:c>
      <x:c r="Q227" s="108" t="str"/>
      <x:c r="R227" s="108" t="str">
        <x:v>13 — Motion</x:v>
      </x:c>
      <x:c r="S227" s="110" t="str">
        <x:v>ChatGPT prefill · 06 Oct 2026</x:v>
      </x:c>
    </x:row>
    <x:row r="228" ht="36" customHeight="1">
      <x:c r="A228" s="107" t="str">
        <x:v>P03</x:v>
      </x:c>
      <x:c r="B228" s="107" t="str">
        <x:v>Motion</x:v>
      </x:c>
      <x:c r="C228" s="107" t="str">
        <x:v>Brand decision</x:v>
      </x:c>
      <x:c r="D228" s="108" t="str">
        <x:v>Easing</x:v>
      </x:c>
      <x:c r="E228" s="108" t="str">
        <x:v>Ease-out / controlled</x:v>
      </x:c>
      <x:c r="F228" s="109" t="str">
        <x:v>Approve recommendation</x:v>
      </x:c>
      <x:c r="G228" s="110"/>
      <x:c r="H228" s="108" t="str">
        <x:f>IF(F228="Approve recommendation",E228,IF(F228="Modify / custom answer",G228,IF(F228="Reject","Rejected",IF(F228="Defer","Deferred",IF(F228="Needs evidence","Pending evidence","")))))</x:f>
        <x:v>Ease-out / controlled</x:v>
      </x:c>
      <x:c r="I228" s="107" t="str">
        <x:f>IF(F228="","Pending",IF(F228="Approve recommendation","Approved",IF(F228="Modify / custom answer",IF(G228="","Action Required","Approved with modification"),IF(F228="Reject","Rejected",IF(F228="Defer","Deferred",IF(F228="Needs evidence","Evidence Required","Pending"))))))</x:f>
        <x:v>Approved</x:v>
      </x:c>
      <x:c r="J228" s="107" t="str">
        <x:v>High</x:v>
      </x:c>
      <x:c r="K228" s="110" t="str">
        <x:v>Digital Design Lead</x:v>
      </x:c>
      <x:c r="L228" s="110"/>
      <x:c r="M228" s="108" t="str">
        <x:v>No</x:v>
      </x:c>
      <x:c r="N228" s="108" t="str"/>
      <x:c r="O228" s="108" t="str">
        <x:v>V2 guideline</x:v>
      </x:c>
      <x:c r="P228" s="108" t="str">
        <x:v>SRC-01</x:v>
      </x:c>
      <x:c r="Q228" s="108" t="str"/>
      <x:c r="R228" s="108" t="str">
        <x:v>13 — Motion</x:v>
      </x:c>
      <x:c r="S228" s="110" t="str">
        <x:v>ChatGPT prefill · 06 Oct 2026</x:v>
      </x:c>
    </x:row>
    <x:row r="229" ht="36" customHeight="1">
      <x:c r="A229" s="107" t="str">
        <x:v>P04</x:v>
      </x:c>
      <x:c r="B229" s="107" t="str">
        <x:v>Motion</x:v>
      </x:c>
      <x:c r="C229" s="107" t="str">
        <x:v>Brand decision</x:v>
      </x:c>
      <x:c r="D229" s="108" t="str">
        <x:v>Elastic/bouncy motion</x:v>
      </x:c>
      <x:c r="E229" s="108" t="str">
        <x:v>Prohibited</x:v>
      </x:c>
      <x:c r="F229" s="109" t="str">
        <x:v>Approve recommendation</x:v>
      </x:c>
      <x:c r="G229" s="110"/>
      <x:c r="H229" s="108" t="str">
        <x:f>IF(F229="Approve recommendation",E229,IF(F229="Modify / custom answer",G229,IF(F229="Reject","Rejected",IF(F229="Defer","Deferred",IF(F229="Needs evidence","Pending evidence","")))))</x:f>
        <x:v>Prohibited</x:v>
      </x:c>
      <x:c r="I229" s="107" t="str">
        <x:f>IF(F229="","Pending",IF(F229="Approve recommendation","Approved",IF(F229="Modify / custom answer",IF(G229="","Action Required","Approved with modification"),IF(F229="Reject","Rejected",IF(F229="Defer","Deferred",IF(F229="Needs evidence","Evidence Required","Pending"))))))</x:f>
        <x:v>Approved</x:v>
      </x:c>
      <x:c r="J229" s="107" t="str">
        <x:v>High</x:v>
      </x:c>
      <x:c r="K229" s="110" t="str">
        <x:v>Digital Design Lead</x:v>
      </x:c>
      <x:c r="L229" s="110"/>
      <x:c r="M229" s="108" t="str">
        <x:v>No</x:v>
      </x:c>
      <x:c r="N229" s="108" t="str"/>
      <x:c r="O229" s="108" t="str">
        <x:v>V2 guideline</x:v>
      </x:c>
      <x:c r="P229" s="108" t="str">
        <x:v>SRC-01</x:v>
      </x:c>
      <x:c r="Q229" s="108" t="str"/>
      <x:c r="R229" s="108" t="str">
        <x:v>13 — Motion</x:v>
      </x:c>
      <x:c r="S229" s="110" t="str">
        <x:v>ChatGPT prefill · 06 Oct 2026</x:v>
      </x:c>
    </x:row>
    <x:row r="230" ht="36" customHeight="1">
      <x:c r="A230" s="107" t="str">
        <x:v>P05</x:v>
      </x:c>
      <x:c r="B230" s="107" t="str">
        <x:v>Motion</x:v>
      </x:c>
      <x:c r="C230" s="107" t="str">
        <x:v>Brand decision</x:v>
      </x:c>
      <x:c r="D230" s="108" t="str">
        <x:v>Fast spinning</x:v>
      </x:c>
      <x:c r="E230" s="108" t="str">
        <x:v>Prohibited</x:v>
      </x:c>
      <x:c r="F230" s="109" t="str">
        <x:v>Approve recommendation</x:v>
      </x:c>
      <x:c r="G230" s="110"/>
      <x:c r="H230" s="108" t="str">
        <x:f>IF(F230="Approve recommendation",E230,IF(F230="Modify / custom answer",G230,IF(F230="Reject","Rejected",IF(F230="Defer","Deferred",IF(F230="Needs evidence","Pending evidence","")))))</x:f>
        <x:v>Prohibited</x:v>
      </x:c>
      <x:c r="I230" s="107" t="str">
        <x:f>IF(F230="","Pending",IF(F230="Approve recommendation","Approved",IF(F230="Modify / custom answer",IF(G230="","Action Required","Approved with modification"),IF(F230="Reject","Rejected",IF(F230="Defer","Deferred",IF(F230="Needs evidence","Evidence Required","Pending"))))))</x:f>
        <x:v>Approved</x:v>
      </x:c>
      <x:c r="J230" s="107" t="str">
        <x:v>High</x:v>
      </x:c>
      <x:c r="K230" s="110" t="str">
        <x:v>Digital Design Lead</x:v>
      </x:c>
      <x:c r="L230" s="110"/>
      <x:c r="M230" s="108" t="str">
        <x:v>No</x:v>
      </x:c>
      <x:c r="N230" s="108" t="str"/>
      <x:c r="O230" s="108" t="str">
        <x:v>V2 guideline</x:v>
      </x:c>
      <x:c r="P230" s="108" t="str">
        <x:v>SRC-01</x:v>
      </x:c>
      <x:c r="Q230" s="108" t="str"/>
      <x:c r="R230" s="108" t="str">
        <x:v>13 — Motion</x:v>
      </x:c>
      <x:c r="S230" s="110" t="str">
        <x:v>ChatGPT prefill · 06 Oct 2026</x:v>
      </x:c>
    </x:row>
    <x:row r="231" ht="36" customHeight="1">
      <x:c r="A231" s="107" t="str">
        <x:v>P06</x:v>
      </x:c>
      <x:c r="B231" s="107" t="str">
        <x:v>Motion</x:v>
      </x:c>
      <x:c r="C231" s="107" t="str">
        <x:v>Brand decision</x:v>
      </x:c>
      <x:c r="D231" s="108" t="str">
        <x:v>Particle effects</x:v>
      </x:c>
      <x:c r="E231" s="108" t="str">
        <x:v>Prohibited</x:v>
      </x:c>
      <x:c r="F231" s="109" t="str">
        <x:v>Approve recommendation</x:v>
      </x:c>
      <x:c r="G231" s="110"/>
      <x:c r="H231" s="108" t="str">
        <x:f>IF(F231="Approve recommendation",E231,IF(F231="Modify / custom answer",G231,IF(F231="Reject","Rejected",IF(F231="Defer","Deferred",IF(F231="Needs evidence","Pending evidence","")))))</x:f>
        <x:v>Prohibited</x:v>
      </x:c>
      <x:c r="I231" s="107" t="str">
        <x:f>IF(F231="","Pending",IF(F231="Approve recommendation","Approved",IF(F231="Modify / custom answer",IF(G231="","Action Required","Approved with modification"),IF(F231="Reject","Rejected",IF(F231="Defer","Deferred",IF(F231="Needs evidence","Evidence Required","Pending"))))))</x:f>
        <x:v>Approved</x:v>
      </x:c>
      <x:c r="J231" s="107" t="str">
        <x:v>High</x:v>
      </x:c>
      <x:c r="K231" s="110" t="str">
        <x:v>Digital Design Lead</x:v>
      </x:c>
      <x:c r="L231" s="110"/>
      <x:c r="M231" s="108" t="str">
        <x:v>No</x:v>
      </x:c>
      <x:c r="N231" s="108" t="str"/>
      <x:c r="O231" s="108" t="str">
        <x:v>V2 guideline</x:v>
      </x:c>
      <x:c r="P231" s="108" t="str">
        <x:v>SRC-01</x:v>
      </x:c>
      <x:c r="Q231" s="108" t="str"/>
      <x:c r="R231" s="108" t="str">
        <x:v>13 — Motion</x:v>
      </x:c>
      <x:c r="S231" s="110" t="str">
        <x:v>ChatGPT prefill · 06 Oct 2026</x:v>
      </x:c>
    </x:row>
    <x:row r="232" ht="36" customHeight="1">
      <x:c r="A232" s="107" t="str">
        <x:v>P07</x:v>
      </x:c>
      <x:c r="B232" s="107" t="str">
        <x:v>Motion</x:v>
      </x:c>
      <x:c r="C232" s="107" t="str">
        <x:v>Brand decision</x:v>
      </x:c>
      <x:c r="D232" s="108" t="str">
        <x:v>Decorative motion with no function</x:v>
      </x:c>
      <x:c r="E232" s="108" t="str">
        <x:v>Avoid</x:v>
      </x:c>
      <x:c r="F232" s="109" t="str">
        <x:v>Approve recommendation</x:v>
      </x:c>
      <x:c r="G232" s="110"/>
      <x:c r="H232" s="108" t="str">
        <x:f>IF(F232="Approve recommendation",E232,IF(F232="Modify / custom answer",G232,IF(F232="Reject","Rejected",IF(F232="Defer","Deferred",IF(F232="Needs evidence","Pending evidence","")))))</x:f>
        <x:v>Avoid</x:v>
      </x:c>
      <x:c r="I232" s="107" t="str">
        <x:f>IF(F232="","Pending",IF(F232="Approve recommendation","Approved",IF(F232="Modify / custom answer",IF(G232="","Action Required","Approved with modification"),IF(F232="Reject","Rejected",IF(F232="Defer","Deferred",IF(F232="Needs evidence","Evidence Required","Pending"))))))</x:f>
        <x:v>Approved</x:v>
      </x:c>
      <x:c r="J232" s="107" t="str">
        <x:v>High</x:v>
      </x:c>
      <x:c r="K232" s="110" t="str">
        <x:v>Digital Design Lead</x:v>
      </x:c>
      <x:c r="L232" s="110"/>
      <x:c r="M232" s="108" t="str">
        <x:v>No</x:v>
      </x:c>
      <x:c r="N232" s="108" t="str"/>
      <x:c r="O232" s="108" t="str">
        <x:v>V2 guideline</x:v>
      </x:c>
      <x:c r="P232" s="108" t="str">
        <x:v>SRC-01</x:v>
      </x:c>
      <x:c r="Q232" s="108" t="str"/>
      <x:c r="R232" s="108" t="str">
        <x:v>13 — Motion</x:v>
      </x:c>
      <x:c r="S232" s="110" t="str">
        <x:v>ChatGPT prefill · 06 Oct 2026</x:v>
      </x:c>
    </x:row>
    <x:row r="233" ht="36" customHeight="1">
      <x:c r="A233" s="107" t="str">
        <x:v>P08</x:v>
      </x:c>
      <x:c r="B233" s="107" t="str">
        <x:v>Motion</x:v>
      </x:c>
      <x:c r="C233" s="107" t="str">
        <x:v>Brand decision</x:v>
      </x:c>
      <x:c r="D233" s="108" t="str">
        <x:v>Spark pulse for micro-state</x:v>
      </x:c>
      <x:c r="E233" s="108" t="str">
        <x:v>Approved</x:v>
      </x:c>
      <x:c r="F233" s="109" t="str">
        <x:v>Approve recommendation</x:v>
      </x:c>
      <x:c r="G233" s="110"/>
      <x:c r="H233" s="108" t="str">
        <x:f>IF(F233="Approve recommendation",E233,IF(F233="Modify / custom answer",G233,IF(F233="Reject","Rejected",IF(F233="Defer","Deferred",IF(F233="Needs evidence","Pending evidence","")))))</x:f>
        <x:v>Approved</x:v>
      </x:c>
      <x:c r="I233" s="107" t="str">
        <x:f>IF(F233="","Pending",IF(F233="Approve recommendation","Approved",IF(F233="Modify / custom answer",IF(G233="","Action Required","Approved with modification"),IF(F233="Reject","Rejected",IF(F233="Defer","Deferred",IF(F233="Needs evidence","Evidence Required","Pending"))))))</x:f>
        <x:v>Approved</x:v>
      </x:c>
      <x:c r="J233" s="107" t="str">
        <x:v>High</x:v>
      </x:c>
      <x:c r="K233" s="110" t="str">
        <x:v>Digital Design Lead</x:v>
      </x:c>
      <x:c r="L233" s="110"/>
      <x:c r="M233" s="108" t="str">
        <x:v>No</x:v>
      </x:c>
      <x:c r="N233" s="108" t="str"/>
      <x:c r="O233" s="108" t="str">
        <x:v>V2 guideline</x:v>
      </x:c>
      <x:c r="P233" s="108" t="str">
        <x:v>SRC-01</x:v>
      </x:c>
      <x:c r="Q233" s="108" t="str"/>
      <x:c r="R233" s="108" t="str">
        <x:v>13 — Motion</x:v>
      </x:c>
      <x:c r="S233" s="110" t="str">
        <x:v>ChatGPT prefill · 06 Oct 2026</x:v>
      </x:c>
    </x:row>
    <x:row r="234" ht="36" customHeight="1">
      <x:c r="A234" s="107" t="str">
        <x:v>P09</x:v>
      </x:c>
      <x:c r="B234" s="107" t="str">
        <x:v>Motion</x:v>
      </x:c>
      <x:c r="C234" s="107" t="str">
        <x:v>Decision + evidence</x:v>
      </x:c>
      <x:c r="D234" s="108" t="str">
        <x:v>Reduced-motion variant required</x:v>
      </x:c>
      <x:c r="E234" s="108" t="str">
        <x:v>Yes</x:v>
      </x:c>
      <x:c r="F234" s="109" t="str">
        <x:v>Approve recommendation</x:v>
      </x:c>
      <x:c r="G234" s="110"/>
      <x:c r="H234" s="108" t="str">
        <x:f>IF(F234="Approve recommendation",E234,IF(F234="Modify / custom answer",G234,IF(F234="Reject","Rejected",IF(F234="Defer","Deferred",IF(F234="Needs evidence","Pending evidence","")))))</x:f>
        <x:v>Yes</x:v>
      </x:c>
      <x:c r="I234" s="107" t="str">
        <x:f>IF(F234="","Pending",IF(F234="Approve recommendation","Approved",IF(F234="Modify / custom answer",IF(G234="","Action Required","Approved with modification"),IF(F234="Reject","Rejected",IF(F234="Defer","Deferred",IF(F234="Needs evidence","Evidence Required","Pending"))))))</x:f>
        <x:v>Approved</x:v>
      </x:c>
      <x:c r="J234" s="107" t="str">
        <x:v>High</x:v>
      </x:c>
      <x:c r="K234" s="110" t="str">
        <x:v>Digital Design Lead + Accessibility QA</x:v>
      </x:c>
      <x:c r="L234" s="110"/>
      <x:c r="M234" s="108" t="str">
        <x:v>No</x:v>
      </x:c>
      <x:c r="N234" s="108" t="str"/>
      <x:c r="O234" s="108" t="str">
        <x:v>V2 guideline</x:v>
      </x:c>
      <x:c r="P234" s="108" t="str">
        <x:v>SRC-01</x:v>
      </x:c>
      <x:c r="Q234" s="108" t="str"/>
      <x:c r="R234" s="108" t="str">
        <x:v>13 — Motion</x:v>
      </x:c>
      <x:c r="S234" s="110" t="str">
        <x:v>ChatGPT prefill · 06 Oct 2026</x:v>
      </x:c>
    </x:row>
    <x:row r="235" ht="36" customHeight="1">
      <x:c r="A235" s="107" t="str">
        <x:v>P10</x:v>
      </x:c>
      <x:c r="B235" s="107" t="str">
        <x:v>Motion</x:v>
      </x:c>
      <x:c r="C235" s="107" t="str">
        <x:v>Brand decision</x:v>
      </x:c>
      <x:c r="D235" s="108" t="str">
        <x:v>Should motion specifications become actual downloadable assets?</x:v>
      </x:c>
      <x:c r="E235" s="108" t="str">
        <x:v>Yes</x:v>
      </x:c>
      <x:c r="F235" s="109" t="str">
        <x:v>Approve recommendation</x:v>
      </x:c>
      <x:c r="G235" s="110"/>
      <x:c r="H235" s="108" t="str">
        <x:f>IF(F235="Approve recommendation",E235,IF(F235="Modify / custom answer",G235,IF(F235="Reject","Rejected",IF(F235="Defer","Deferred",IF(F235="Needs evidence","Pending evidence","")))))</x:f>
        <x:v>Yes</x:v>
      </x:c>
      <x:c r="I235" s="107" t="str">
        <x:f>IF(F235="","Pending",IF(F235="Approve recommendation","Approved",IF(F235="Modify / custom answer",IF(G235="","Action Required","Approved with modification"),IF(F235="Reject","Rejected",IF(F235="Defer","Deferred",IF(F235="Needs evidence","Evidence Required","Pending"))))))</x:f>
        <x:v>Approved</x:v>
      </x:c>
      <x:c r="J235" s="107" t="str">
        <x:v>High</x:v>
      </x:c>
      <x:c r="K235" s="110" t="str">
        <x:v>Digital Design Lead</x:v>
      </x:c>
      <x:c r="L235" s="110"/>
      <x:c r="M235" s="108" t="str">
        <x:v>No</x:v>
      </x:c>
      <x:c r="N235" s="108" t="str"/>
      <x:c r="O235" s="108" t="str">
        <x:v>V2 guideline</x:v>
      </x:c>
      <x:c r="P235" s="108" t="str">
        <x:v>SRC-01</x:v>
      </x:c>
      <x:c r="Q235" s="108" t="str"/>
      <x:c r="R235" s="108" t="str">
        <x:v>13 — Motion</x:v>
      </x:c>
      <x:c r="S235" s="110" t="str">
        <x:v>ChatGPT prefill · 06 Oct 2026</x:v>
      </x:c>
    </x:row>
    <x:row r="236" ht="36" customHeight="1">
      <x:c r="A236" s="107" t="str">
        <x:v>Q01</x:v>
      </x:c>
      <x:c r="B236" s="107" t="str">
        <x:v>Digital product/UI system</x:v>
      </x:c>
      <x:c r="C236" s="107" t="str">
        <x:v>Brand decision</x:v>
      </x:c>
      <x:c r="D236" s="108" t="str">
        <x:v>Build machine-readable design tokens?</x:v>
      </x:c>
      <x:c r="E236" s="108" t="str">
        <x:v>Yes</x:v>
      </x:c>
      <x:c r="F236" s="109" t="str">
        <x:v>Approve recommendation</x:v>
      </x:c>
      <x:c r="G236" s="110"/>
      <x:c r="H236" s="108" t="str">
        <x:f>IF(F236="Approve recommendation",E236,IF(F236="Modify / custom answer",G236,IF(F236="Reject","Rejected",IF(F236="Defer","Deferred",IF(F236="Needs evidence","Pending evidence","")))))</x:f>
        <x:v>Yes</x:v>
      </x:c>
      <x:c r="I236" s="107" t="str">
        <x:f>IF(F236="","Pending",IF(F236="Approve recommendation","Approved",IF(F236="Modify / custom answer",IF(G236="","Action Required","Approved with modification"),IF(F236="Reject","Rejected",IF(F236="Defer","Deferred",IF(F236="Needs evidence","Evidence Required","Pending"))))))</x:f>
        <x:v>Approved</x:v>
      </x:c>
      <x:c r="J236" s="107" t="str">
        <x:v>High</x:v>
      </x:c>
      <x:c r="K236" s="110" t="str">
        <x:v>Digital Design Lead + Engineering Lead + Accessibility QA</x:v>
      </x:c>
      <x:c r="L236" s="110"/>
      <x:c r="M236" s="108" t="str">
        <x:v>No</x:v>
      </x:c>
      <x:c r="N236" s="108" t="str"/>
      <x:c r="O236" s="108" t="str">
        <x:v>V2 audit</x:v>
      </x:c>
      <x:c r="P236" s="108" t="str">
        <x:v>SRC-02</x:v>
      </x:c>
      <x:c r="Q236" s="108" t="str"/>
      <x:c r="R236" s="108" t="str">
        <x:v>14 — Digital Product/UI</x:v>
      </x:c>
      <x:c r="S236" s="110" t="str">
        <x:v>ChatGPT prefill · 06 Oct 2026</x:v>
      </x:c>
    </x:row>
    <x:row r="237" ht="36" customHeight="1">
      <x:c r="A237" s="107" t="str">
        <x:v>Q02</x:v>
      </x:c>
      <x:c r="B237" s="107" t="str">
        <x:v>Digital product/UI system</x:v>
      </x:c>
      <x:c r="C237" s="107" t="str">
        <x:v>Brand decision</x:v>
      </x:c>
      <x:c r="D237" s="108" t="str">
        <x:v>Foundation color tokens?</x:v>
      </x:c>
      <x:c r="E237" s="108" t="str">
        <x:v>Yes</x:v>
      </x:c>
      <x:c r="F237" s="109" t="str">
        <x:v>Approve recommendation</x:v>
      </x:c>
      <x:c r="G237" s="110"/>
      <x:c r="H237" s="108" t="str">
        <x:f>IF(F237="Approve recommendation",E237,IF(F237="Modify / custom answer",G237,IF(F237="Reject","Rejected",IF(F237="Defer","Deferred",IF(F237="Needs evidence","Pending evidence","")))))</x:f>
        <x:v>Yes</x:v>
      </x:c>
      <x:c r="I237" s="107" t="str">
        <x:f>IF(F237="","Pending",IF(F237="Approve recommendation","Approved",IF(F237="Modify / custom answer",IF(G237="","Action Required","Approved with modification"),IF(F237="Reject","Rejected",IF(F237="Defer","Deferred",IF(F237="Needs evidence","Evidence Required","Pending"))))))</x:f>
        <x:v>Approved</x:v>
      </x:c>
      <x:c r="J237" s="107" t="str">
        <x:v>High</x:v>
      </x:c>
      <x:c r="K237" s="110" t="str">
        <x:v>Digital Design Lead + Engineering Lead + Accessibility QA</x:v>
      </x:c>
      <x:c r="L237" s="110"/>
      <x:c r="M237" s="108" t="str">
        <x:v>No</x:v>
      </x:c>
      <x:c r="N237" s="108" t="str"/>
      <x:c r="O237" s="108" t="str">
        <x:v>V2 audit</x:v>
      </x:c>
      <x:c r="P237" s="108" t="str">
        <x:v>SRC-02</x:v>
      </x:c>
      <x:c r="Q237" s="108" t="str"/>
      <x:c r="R237" s="108" t="str">
        <x:v>14 — Digital Product/UI</x:v>
      </x:c>
      <x:c r="S237" s="110" t="str">
        <x:v>ChatGPT prefill · 06 Oct 2026</x:v>
      </x:c>
    </x:row>
    <x:row r="238" ht="36" customHeight="1">
      <x:c r="A238" s="107" t="str">
        <x:v>Q03</x:v>
      </x:c>
      <x:c r="B238" s="107" t="str">
        <x:v>Digital product/UI system</x:v>
      </x:c>
      <x:c r="C238" s="107" t="str">
        <x:v>Brand decision</x:v>
      </x:c>
      <x:c r="D238" s="108" t="str">
        <x:v>Semantic color tokens?</x:v>
      </x:c>
      <x:c r="E238" s="108" t="str">
        <x:v>Yes</x:v>
      </x:c>
      <x:c r="F238" s="109" t="str">
        <x:v>Approve recommendation</x:v>
      </x:c>
      <x:c r="G238" s="110"/>
      <x:c r="H238" s="108" t="str">
        <x:f>IF(F238="Approve recommendation",E238,IF(F238="Modify / custom answer",G238,IF(F238="Reject","Rejected",IF(F238="Defer","Deferred",IF(F238="Needs evidence","Pending evidence","")))))</x:f>
        <x:v>Yes</x:v>
      </x:c>
      <x:c r="I238" s="107" t="str">
        <x:f>IF(F238="","Pending",IF(F238="Approve recommendation","Approved",IF(F238="Modify / custom answer",IF(G238="","Action Required","Approved with modification"),IF(F238="Reject","Rejected",IF(F238="Defer","Deferred",IF(F238="Needs evidence","Evidence Required","Pending"))))))</x:f>
        <x:v>Approved</x:v>
      </x:c>
      <x:c r="J238" s="107" t="str">
        <x:v>High</x:v>
      </x:c>
      <x:c r="K238" s="110" t="str">
        <x:v>Digital Design Lead + Engineering Lead + Accessibility QA</x:v>
      </x:c>
      <x:c r="L238" s="110"/>
      <x:c r="M238" s="108" t="str">
        <x:v>No</x:v>
      </x:c>
      <x:c r="N238" s="108" t="str"/>
      <x:c r="O238" s="108" t="str">
        <x:v>V2 audit</x:v>
      </x:c>
      <x:c r="P238" s="108" t="str">
        <x:v>SRC-02</x:v>
      </x:c>
      <x:c r="Q238" s="108" t="str"/>
      <x:c r="R238" s="108" t="str">
        <x:v>14 — Digital Product/UI</x:v>
      </x:c>
      <x:c r="S238" s="110" t="str">
        <x:v>ChatGPT prefill · 06 Oct 2026</x:v>
      </x:c>
    </x:row>
    <x:row r="239" ht="36" customHeight="1">
      <x:c r="A239" s="107" t="str">
        <x:v>Q04</x:v>
      </x:c>
      <x:c r="B239" s="107" t="str">
        <x:v>Digital product/UI system</x:v>
      </x:c>
      <x:c r="C239" s="107" t="str">
        <x:v>Brand decision</x:v>
      </x:c>
      <x:c r="D239" s="108" t="str">
        <x:v>Typography tokens?</x:v>
      </x:c>
      <x:c r="E239" s="108" t="str">
        <x:v>Yes</x:v>
      </x:c>
      <x:c r="F239" s="109" t="str">
        <x:v>Approve recommendation</x:v>
      </x:c>
      <x:c r="G239" s="110"/>
      <x:c r="H239" s="108" t="str">
        <x:f>IF(F239="Approve recommendation",E239,IF(F239="Modify / custom answer",G239,IF(F239="Reject","Rejected",IF(F239="Defer","Deferred",IF(F239="Needs evidence","Pending evidence","")))))</x:f>
        <x:v>Yes</x:v>
      </x:c>
      <x:c r="I239" s="107" t="str">
        <x:f>IF(F239="","Pending",IF(F239="Approve recommendation","Approved",IF(F239="Modify / custom answer",IF(G239="","Action Required","Approved with modification"),IF(F239="Reject","Rejected",IF(F239="Defer","Deferred",IF(F239="Needs evidence","Evidence Required","Pending"))))))</x:f>
        <x:v>Approved</x:v>
      </x:c>
      <x:c r="J239" s="107" t="str">
        <x:v>High</x:v>
      </x:c>
      <x:c r="K239" s="110" t="str">
        <x:v>Digital Design Lead + Engineering Lead + Accessibility QA</x:v>
      </x:c>
      <x:c r="L239" s="110"/>
      <x:c r="M239" s="108" t="str">
        <x:v>No</x:v>
      </x:c>
      <x:c r="N239" s="108" t="str"/>
      <x:c r="O239" s="108" t="str">
        <x:v>V2 audit</x:v>
      </x:c>
      <x:c r="P239" s="108" t="str">
        <x:v>SRC-02</x:v>
      </x:c>
      <x:c r="Q239" s="108" t="str"/>
      <x:c r="R239" s="108" t="str">
        <x:v>14 — Digital Product/UI</x:v>
      </x:c>
      <x:c r="S239" s="110" t="str">
        <x:v>ChatGPT prefill · 06 Oct 2026</x:v>
      </x:c>
    </x:row>
    <x:row r="240" ht="36" customHeight="1">
      <x:c r="A240" s="107" t="str">
        <x:v>Q05</x:v>
      </x:c>
      <x:c r="B240" s="107" t="str">
        <x:v>Digital product/UI system</x:v>
      </x:c>
      <x:c r="C240" s="107" t="str">
        <x:v>Brand decision</x:v>
      </x:c>
      <x:c r="D240" s="108" t="str">
        <x:v>Spacing tokens?</x:v>
      </x:c>
      <x:c r="E240" s="108" t="str">
        <x:v>Yes</x:v>
      </x:c>
      <x:c r="F240" s="109" t="str">
        <x:v>Approve recommendation</x:v>
      </x:c>
      <x:c r="G240" s="110"/>
      <x:c r="H240" s="108" t="str">
        <x:f>IF(F240="Approve recommendation",E240,IF(F240="Modify / custom answer",G240,IF(F240="Reject","Rejected",IF(F240="Defer","Deferred",IF(F240="Needs evidence","Pending evidence","")))))</x:f>
        <x:v>Yes</x:v>
      </x:c>
      <x:c r="I240" s="107" t="str">
        <x:f>IF(F240="","Pending",IF(F240="Approve recommendation","Approved",IF(F240="Modify / custom answer",IF(G240="","Action Required","Approved with modification"),IF(F240="Reject","Rejected",IF(F240="Defer","Deferred",IF(F240="Needs evidence","Evidence Required","Pending"))))))</x:f>
        <x:v>Approved</x:v>
      </x:c>
      <x:c r="J240" s="107" t="str">
        <x:v>High</x:v>
      </x:c>
      <x:c r="K240" s="110" t="str">
        <x:v>Digital Design Lead + Engineering Lead + Accessibility QA</x:v>
      </x:c>
      <x:c r="L240" s="110"/>
      <x:c r="M240" s="108" t="str">
        <x:v>No</x:v>
      </x:c>
      <x:c r="N240" s="108" t="str"/>
      <x:c r="O240" s="108" t="str">
        <x:v>V2 audit</x:v>
      </x:c>
      <x:c r="P240" s="108" t="str">
        <x:v>SRC-02</x:v>
      </x:c>
      <x:c r="Q240" s="108" t="str"/>
      <x:c r="R240" s="108" t="str">
        <x:v>14 — Digital Product/UI</x:v>
      </x:c>
      <x:c r="S240" s="110" t="str">
        <x:v>ChatGPT prefill · 06 Oct 2026</x:v>
      </x:c>
    </x:row>
    <x:row r="241" ht="36" customHeight="1">
      <x:c r="A241" s="107" t="str">
        <x:v>Q06</x:v>
      </x:c>
      <x:c r="B241" s="107" t="str">
        <x:v>Digital product/UI system</x:v>
      </x:c>
      <x:c r="C241" s="107" t="str">
        <x:v>Brand decision</x:v>
      </x:c>
      <x:c r="D241" s="108" t="str">
        <x:v>Radius tokens?</x:v>
      </x:c>
      <x:c r="E241" s="108" t="str">
        <x:v>Yes</x:v>
      </x:c>
      <x:c r="F241" s="109" t="str">
        <x:v>Approve recommendation</x:v>
      </x:c>
      <x:c r="G241" s="110"/>
      <x:c r="H241" s="108" t="str">
        <x:f>IF(F241="Approve recommendation",E241,IF(F241="Modify / custom answer",G241,IF(F241="Reject","Rejected",IF(F241="Defer","Deferred",IF(F241="Needs evidence","Pending evidence","")))))</x:f>
        <x:v>Yes</x:v>
      </x:c>
      <x:c r="I241" s="107" t="str">
        <x:f>IF(F241="","Pending",IF(F241="Approve recommendation","Approved",IF(F241="Modify / custom answer",IF(G241="","Action Required","Approved with modification"),IF(F241="Reject","Rejected",IF(F241="Defer","Deferred",IF(F241="Needs evidence","Evidence Required","Pending"))))))</x:f>
        <x:v>Approved</x:v>
      </x:c>
      <x:c r="J241" s="107" t="str">
        <x:v>High</x:v>
      </x:c>
      <x:c r="K241" s="110" t="str">
        <x:v>Digital Design Lead + Engineering Lead + Accessibility QA</x:v>
      </x:c>
      <x:c r="L241" s="110"/>
      <x:c r="M241" s="108" t="str">
        <x:v>No</x:v>
      </x:c>
      <x:c r="N241" s="108" t="str"/>
      <x:c r="O241" s="108" t="str">
        <x:v>V2 audit</x:v>
      </x:c>
      <x:c r="P241" s="108" t="str">
        <x:v>SRC-02</x:v>
      </x:c>
      <x:c r="Q241" s="108" t="str"/>
      <x:c r="R241" s="108" t="str">
        <x:v>14 — Digital Product/UI</x:v>
      </x:c>
      <x:c r="S241" s="110" t="str">
        <x:v>ChatGPT prefill · 06 Oct 2026</x:v>
      </x:c>
    </x:row>
    <x:row r="242" ht="36" customHeight="1">
      <x:c r="A242" s="107" t="str">
        <x:v>Q07</x:v>
      </x:c>
      <x:c r="B242" s="107" t="str">
        <x:v>Digital product/UI system</x:v>
      </x:c>
      <x:c r="C242" s="107" t="str">
        <x:v>Brand decision</x:v>
      </x:c>
      <x:c r="D242" s="108" t="str">
        <x:v>Motion tokens?</x:v>
      </x:c>
      <x:c r="E242" s="108" t="str">
        <x:v>Yes</x:v>
      </x:c>
      <x:c r="F242" s="109" t="str">
        <x:v>Approve recommendation</x:v>
      </x:c>
      <x:c r="G242" s="110"/>
      <x:c r="H242" s="108" t="str">
        <x:f>IF(F242="Approve recommendation",E242,IF(F242="Modify / custom answer",G242,IF(F242="Reject","Rejected",IF(F242="Defer","Deferred",IF(F242="Needs evidence","Pending evidence","")))))</x:f>
        <x:v>Yes</x:v>
      </x:c>
      <x:c r="I242" s="107" t="str">
        <x:f>IF(F242="","Pending",IF(F242="Approve recommendation","Approved",IF(F242="Modify / custom answer",IF(G242="","Action Required","Approved with modification"),IF(F242="Reject","Rejected",IF(F242="Defer","Deferred",IF(F242="Needs evidence","Evidence Required","Pending"))))))</x:f>
        <x:v>Approved</x:v>
      </x:c>
      <x:c r="J242" s="107" t="str">
        <x:v>High</x:v>
      </x:c>
      <x:c r="K242" s="110" t="str">
        <x:v>Digital Design Lead + Engineering Lead + Accessibility QA</x:v>
      </x:c>
      <x:c r="L242" s="110"/>
      <x:c r="M242" s="108" t="str">
        <x:v>No</x:v>
      </x:c>
      <x:c r="N242" s="108" t="str"/>
      <x:c r="O242" s="108" t="str">
        <x:v>V2 audit</x:v>
      </x:c>
      <x:c r="P242" s="108" t="str">
        <x:v>SRC-02</x:v>
      </x:c>
      <x:c r="Q242" s="108" t="str"/>
      <x:c r="R242" s="108" t="str">
        <x:v>14 — Digital Product/UI</x:v>
      </x:c>
      <x:c r="S242" s="110" t="str">
        <x:v>ChatGPT prefill · 06 Oct 2026</x:v>
      </x:c>
    </x:row>
    <x:row r="243" ht="36" customHeight="1">
      <x:c r="A243" s="107" t="str">
        <x:v>Q08</x:v>
      </x:c>
      <x:c r="B243" s="107" t="str">
        <x:v>Digital product/UI system</x:v>
      </x:c>
      <x:c r="C243" s="107" t="str">
        <x:v>Brand decision</x:v>
      </x:c>
      <x:c r="D243" s="108" t="str">
        <x:v>Focus-state token?</x:v>
      </x:c>
      <x:c r="E243" s="108" t="str">
        <x:v>Yes</x:v>
      </x:c>
      <x:c r="F243" s="109" t="str">
        <x:v>Approve recommendation</x:v>
      </x:c>
      <x:c r="G243" s="110"/>
      <x:c r="H243" s="108" t="str">
        <x:f>IF(F243="Approve recommendation",E243,IF(F243="Modify / custom answer",G243,IF(F243="Reject","Rejected",IF(F243="Defer","Deferred",IF(F243="Needs evidence","Pending evidence","")))))</x:f>
        <x:v>Yes</x:v>
      </x:c>
      <x:c r="I243" s="107" t="str">
        <x:f>IF(F243="","Pending",IF(F243="Approve recommendation","Approved",IF(F243="Modify / custom answer",IF(G243="","Action Required","Approved with modification"),IF(F243="Reject","Rejected",IF(F243="Defer","Deferred",IF(F243="Needs evidence","Evidence Required","Pending"))))))</x:f>
        <x:v>Approved</x:v>
      </x:c>
      <x:c r="J243" s="107" t="str">
        <x:v>High</x:v>
      </x:c>
      <x:c r="K243" s="110" t="str">
        <x:v>Digital Design Lead + Engineering Lead + Accessibility QA</x:v>
      </x:c>
      <x:c r="L243" s="110"/>
      <x:c r="M243" s="108" t="str">
        <x:v>No</x:v>
      </x:c>
      <x:c r="N243" s="108" t="str"/>
      <x:c r="O243" s="108" t="str">
        <x:v>V2 audit</x:v>
      </x:c>
      <x:c r="P243" s="108" t="str">
        <x:v>SRC-02</x:v>
      </x:c>
      <x:c r="Q243" s="108" t="str"/>
      <x:c r="R243" s="108" t="str">
        <x:v>14 — Digital Product/UI</x:v>
      </x:c>
      <x:c r="S243" s="110" t="str">
        <x:v>ChatGPT prefill · 06 Oct 2026</x:v>
      </x:c>
    </x:row>
    <x:row r="244" ht="36" customHeight="1">
      <x:c r="A244" s="107" t="str">
        <x:v>Q09</x:v>
      </x:c>
      <x:c r="B244" s="107" t="str">
        <x:v>Digital product/UI system</x:v>
      </x:c>
      <x:c r="C244" s="107" t="str">
        <x:v>Brand decision</x:v>
      </x:c>
      <x:c r="D244" s="108" t="str">
        <x:v>Error-state token?</x:v>
      </x:c>
      <x:c r="E244" s="108" t="str">
        <x:v>Yes</x:v>
      </x:c>
      <x:c r="F244" s="109" t="str">
        <x:v>Approve recommendation</x:v>
      </x:c>
      <x:c r="G244" s="110"/>
      <x:c r="H244" s="108" t="str">
        <x:f>IF(F244="Approve recommendation",E244,IF(F244="Modify / custom answer",G244,IF(F244="Reject","Rejected",IF(F244="Defer","Deferred",IF(F244="Needs evidence","Pending evidence","")))))</x:f>
        <x:v>Yes</x:v>
      </x:c>
      <x:c r="I244" s="107" t="str">
        <x:f>IF(F244="","Pending",IF(F244="Approve recommendation","Approved",IF(F244="Modify / custom answer",IF(G244="","Action Required","Approved with modification"),IF(F244="Reject","Rejected",IF(F244="Defer","Deferred",IF(F244="Needs evidence","Evidence Required","Pending"))))))</x:f>
        <x:v>Approved</x:v>
      </x:c>
      <x:c r="J244" s="107" t="str">
        <x:v>High</x:v>
      </x:c>
      <x:c r="K244" s="110" t="str">
        <x:v>Digital Design Lead + Engineering Lead + Accessibility QA</x:v>
      </x:c>
      <x:c r="L244" s="110"/>
      <x:c r="M244" s="108" t="str">
        <x:v>No</x:v>
      </x:c>
      <x:c r="N244" s="108" t="str"/>
      <x:c r="O244" s="108" t="str">
        <x:v>V2 audit</x:v>
      </x:c>
      <x:c r="P244" s="108" t="str">
        <x:v>SRC-02</x:v>
      </x:c>
      <x:c r="Q244" s="108" t="str"/>
      <x:c r="R244" s="108" t="str">
        <x:v>14 — Digital Product/UI</x:v>
      </x:c>
      <x:c r="S244" s="110" t="str">
        <x:v>ChatGPT prefill · 06 Oct 2026</x:v>
      </x:c>
    </x:row>
    <x:row r="245" ht="36" customHeight="1">
      <x:c r="A245" s="107" t="str">
        <x:v>Q10</x:v>
      </x:c>
      <x:c r="B245" s="107" t="str">
        <x:v>Digital product/UI system</x:v>
      </x:c>
      <x:c r="C245" s="107" t="str">
        <x:v>Brand decision</x:v>
      </x:c>
      <x:c r="D245" s="108" t="str">
        <x:v>How should success / warning / info / error states be differentiated visually?</x:v>
      </x:c>
      <x:c r="E245" s="108" t="str">
        <x:v>Keep the expressive palette restrained: use explicit text, border weight, typography and state wording first. Add functional status colours only if a real accessibility/operational need is demonstrated and separately tokenized.</x:v>
      </x:c>
      <x:c r="F245" s="109" t="str">
        <x:v>Approve recommendation</x:v>
      </x:c>
      <x:c r="G245" s="110"/>
      <x:c r="H245" s="108" t="str">
        <x:f>IF(F245="Approve recommendation",E245,IF(F245="Modify / custom answer",G245,IF(F245="Reject","Rejected",IF(F245="Defer","Deferred",IF(F245="Needs evidence","Pending evidence","")))))</x:f>
        <x:v>Keep the expressive palette restrained: use explicit text, border weight, typography and state wording first. Add functional status colours only if a real accessibility/operational need is demonstrated and separately tokenized.</x:v>
      </x:c>
      <x:c r="I245" s="107" t="str">
        <x:f>IF(F245="","Pending",IF(F245="Approve recommendation","Approved",IF(F245="Modify / custom answer",IF(G245="","Action Required","Approved with modification"),IF(F245="Reject","Rejected",IF(F245="Defer","Deferred",IF(F245="Needs evidence","Evidence Required","Pending"))))))</x:f>
        <x:v>Approved</x:v>
      </x:c>
      <x:c r="J245" s="107" t="str">
        <x:v>High</x:v>
      </x:c>
      <x:c r="K245" s="110" t="str">
        <x:v>Digital Design Lead + Engineering Lead + Accessibility QA</x:v>
      </x:c>
      <x:c r="L245" s="110"/>
      <x:c r="M245" s="108" t="str">
        <x:v>Yes</x:v>
      </x:c>
      <x:c r="N245" s="108" t="str"/>
      <x:c r="O245" s="108" t="str">
        <x:v>GEM Design System v2.1 review</x:v>
      </x:c>
      <x:c r="P245" s="108" t="str">
        <x:v>SRC-04</x:v>
      </x:c>
      <x:c r="Q245" s="108" t="str"/>
      <x:c r="R245" s="108" t="str">
        <x:v>14 — Digital Product/UI</x:v>
      </x:c>
      <x:c r="S245" s="110" t="str">
        <x:v>ChatGPT prefill · 06 Oct 2026</x:v>
      </x:c>
    </x:row>
    <x:row r="246" ht="36" customHeight="1">
      <x:c r="A246" s="107" t="str">
        <x:v>Q11</x:v>
      </x:c>
      <x:c r="B246" s="107" t="str">
        <x:v>Digital product/UI system</x:v>
      </x:c>
      <x:c r="C246" s="107" t="str">
        <x:v>Brand decision</x:v>
      </x:c>
      <x:c r="D246" s="108" t="str">
        <x:v>Buttons system?</x:v>
      </x:c>
      <x:c r="E246" s="108" t="str">
        <x:v>Yes</x:v>
      </x:c>
      <x:c r="F246" s="109" t="str">
        <x:v>Approve recommendation</x:v>
      </x:c>
      <x:c r="G246" s="110"/>
      <x:c r="H246" s="108" t="str">
        <x:f>IF(F246="Approve recommendation",E246,IF(F246="Modify / custom answer",G246,IF(F246="Reject","Rejected",IF(F246="Defer","Deferred",IF(F246="Needs evidence","Pending evidence","")))))</x:f>
        <x:v>Yes</x:v>
      </x:c>
      <x:c r="I246" s="107" t="str">
        <x:f>IF(F246="","Pending",IF(F246="Approve recommendation","Approved",IF(F246="Modify / custom answer",IF(G246="","Action Required","Approved with modification"),IF(F246="Reject","Rejected",IF(F246="Defer","Deferred",IF(F246="Needs evidence","Evidence Required","Pending"))))))</x:f>
        <x:v>Approved</x:v>
      </x:c>
      <x:c r="J246" s="107" t="str">
        <x:v>High</x:v>
      </x:c>
      <x:c r="K246" s="110" t="str">
        <x:v>Digital Design Lead + Engineering Lead + Accessibility QA</x:v>
      </x:c>
      <x:c r="L246" s="110"/>
      <x:c r="M246" s="108" t="str">
        <x:v>No</x:v>
      </x:c>
      <x:c r="N246" s="108" t="str"/>
      <x:c r="O246" s="108" t="str">
        <x:v>V2 audit</x:v>
      </x:c>
      <x:c r="P246" s="108" t="str">
        <x:v>SRC-02</x:v>
      </x:c>
      <x:c r="Q246" s="108" t="str"/>
      <x:c r="R246" s="108" t="str">
        <x:v>14 — Digital Product/UI</x:v>
      </x:c>
      <x:c r="S246" s="110" t="str">
        <x:v>ChatGPT prefill · 06 Oct 2026</x:v>
      </x:c>
    </x:row>
    <x:row r="247" ht="36" customHeight="1">
      <x:c r="A247" s="107" t="str">
        <x:v>Q12</x:v>
      </x:c>
      <x:c r="B247" s="107" t="str">
        <x:v>Digital product/UI system</x:v>
      </x:c>
      <x:c r="C247" s="107" t="str">
        <x:v>Brand decision</x:v>
      </x:c>
      <x:c r="D247" s="108" t="str">
        <x:v>Inputs/forms system?</x:v>
      </x:c>
      <x:c r="E247" s="108" t="str">
        <x:v>Yes</x:v>
      </x:c>
      <x:c r="F247" s="109" t="str">
        <x:v>Approve recommendation</x:v>
      </x:c>
      <x:c r="G247" s="110"/>
      <x:c r="H247" s="108" t="str">
        <x:f>IF(F247="Approve recommendation",E247,IF(F247="Modify / custom answer",G247,IF(F247="Reject","Rejected",IF(F247="Defer","Deferred",IF(F247="Needs evidence","Pending evidence","")))))</x:f>
        <x:v>Yes</x:v>
      </x:c>
      <x:c r="I247" s="107" t="str">
        <x:f>IF(F247="","Pending",IF(F247="Approve recommendation","Approved",IF(F247="Modify / custom answer",IF(G247="","Action Required","Approved with modification"),IF(F247="Reject","Rejected",IF(F247="Defer","Deferred",IF(F247="Needs evidence","Evidence Required","Pending"))))))</x:f>
        <x:v>Approved</x:v>
      </x:c>
      <x:c r="J247" s="107" t="str">
        <x:v>High</x:v>
      </x:c>
      <x:c r="K247" s="110" t="str">
        <x:v>Digital Design Lead + Engineering Lead + Accessibility QA</x:v>
      </x:c>
      <x:c r="L247" s="110"/>
      <x:c r="M247" s="108" t="str">
        <x:v>No</x:v>
      </x:c>
      <x:c r="N247" s="108" t="str"/>
      <x:c r="O247" s="108" t="str">
        <x:v>V2 audit</x:v>
      </x:c>
      <x:c r="P247" s="108" t="str">
        <x:v>SRC-02</x:v>
      </x:c>
      <x:c r="Q247" s="108" t="str"/>
      <x:c r="R247" s="108" t="str">
        <x:v>14 — Digital Product/UI</x:v>
      </x:c>
      <x:c r="S247" s="110" t="str">
        <x:v>ChatGPT prefill · 06 Oct 2026</x:v>
      </x:c>
    </x:row>
    <x:row r="248" ht="36" customHeight="1">
      <x:c r="A248" s="107" t="str">
        <x:v>Q13</x:v>
      </x:c>
      <x:c r="B248" s="107" t="str">
        <x:v>Digital product/UI system</x:v>
      </x:c>
      <x:c r="C248" s="107" t="str">
        <x:v>Brand decision</x:v>
      </x:c>
      <x:c r="D248" s="108" t="str">
        <x:v>Cards/navigation system?</x:v>
      </x:c>
      <x:c r="E248" s="108" t="str">
        <x:v>Yes</x:v>
      </x:c>
      <x:c r="F248" s="109" t="str">
        <x:v>Approve recommendation</x:v>
      </x:c>
      <x:c r="G248" s="110"/>
      <x:c r="H248" s="108" t="str">
        <x:f>IF(F248="Approve recommendation",E248,IF(F248="Modify / custom answer",G248,IF(F248="Reject","Rejected",IF(F248="Defer","Deferred",IF(F248="Needs evidence","Pending evidence","")))))</x:f>
        <x:v>Yes</x:v>
      </x:c>
      <x:c r="I248" s="107" t="str">
        <x:f>IF(F248="","Pending",IF(F248="Approve recommendation","Approved",IF(F248="Modify / custom answer",IF(G248="","Action Required","Approved with modification"),IF(F248="Reject","Rejected",IF(F248="Defer","Deferred",IF(F248="Needs evidence","Evidence Required","Pending"))))))</x:f>
        <x:v>Approved</x:v>
      </x:c>
      <x:c r="J248" s="107" t="str">
        <x:v>High</x:v>
      </x:c>
      <x:c r="K248" s="110" t="str">
        <x:v>Digital Design Lead + Engineering Lead + Accessibility QA</x:v>
      </x:c>
      <x:c r="L248" s="110"/>
      <x:c r="M248" s="108" t="str">
        <x:v>No</x:v>
      </x:c>
      <x:c r="N248" s="108" t="str"/>
      <x:c r="O248" s="108" t="str">
        <x:v>V2 audit</x:v>
      </x:c>
      <x:c r="P248" s="108" t="str">
        <x:v>SRC-02</x:v>
      </x:c>
      <x:c r="Q248" s="108" t="str"/>
      <x:c r="R248" s="108" t="str">
        <x:v>14 — Digital Product/UI</x:v>
      </x:c>
      <x:c r="S248" s="110" t="str">
        <x:v>ChatGPT prefill · 06 Oct 2026</x:v>
      </x:c>
    </x:row>
    <x:row r="249" ht="36" customHeight="1">
      <x:c r="A249" s="107" t="str">
        <x:v>Q14</x:v>
      </x:c>
      <x:c r="B249" s="107" t="str">
        <x:v>Digital product/UI system</x:v>
      </x:c>
      <x:c r="C249" s="107" t="str">
        <x:v>Brand decision</x:v>
      </x:c>
      <x:c r="D249" s="108" t="str">
        <x:v>Loading state?</x:v>
      </x:c>
      <x:c r="E249" s="108" t="str">
        <x:v>Yes</x:v>
      </x:c>
      <x:c r="F249" s="109" t="str">
        <x:v>Approve recommendation</x:v>
      </x:c>
      <x:c r="G249" s="110"/>
      <x:c r="H249" s="108" t="str">
        <x:f>IF(F249="Approve recommendation",E249,IF(F249="Modify / custom answer",G249,IF(F249="Reject","Rejected",IF(F249="Defer","Deferred",IF(F249="Needs evidence","Pending evidence","")))))</x:f>
        <x:v>Yes</x:v>
      </x:c>
      <x:c r="I249" s="107" t="str">
        <x:f>IF(F249="","Pending",IF(F249="Approve recommendation","Approved",IF(F249="Modify / custom answer",IF(G249="","Action Required","Approved with modification"),IF(F249="Reject","Rejected",IF(F249="Defer","Deferred",IF(F249="Needs evidence","Evidence Required","Pending"))))))</x:f>
        <x:v>Approved</x:v>
      </x:c>
      <x:c r="J249" s="107" t="str">
        <x:v>High</x:v>
      </x:c>
      <x:c r="K249" s="110" t="str">
        <x:v>Digital Design Lead + Engineering Lead + Accessibility QA</x:v>
      </x:c>
      <x:c r="L249" s="110"/>
      <x:c r="M249" s="108" t="str">
        <x:v>No</x:v>
      </x:c>
      <x:c r="N249" s="108" t="str"/>
      <x:c r="O249" s="108" t="str">
        <x:v>V2 audit</x:v>
      </x:c>
      <x:c r="P249" s="108" t="str">
        <x:v>SRC-02</x:v>
      </x:c>
      <x:c r="Q249" s="108" t="str"/>
      <x:c r="R249" s="108" t="str">
        <x:v>14 — Digital Product/UI</x:v>
      </x:c>
      <x:c r="S249" s="110" t="str">
        <x:v>ChatGPT prefill · 06 Oct 2026</x:v>
      </x:c>
    </x:row>
    <x:row r="250" ht="36" customHeight="1">
      <x:c r="A250" s="107" t="str">
        <x:v>Q15</x:v>
      </x:c>
      <x:c r="B250" s="107" t="str">
        <x:v>Digital product/UI system</x:v>
      </x:c>
      <x:c r="C250" s="107" t="str">
        <x:v>Brand decision</x:v>
      </x:c>
      <x:c r="D250" s="108" t="str">
        <x:v>Empty/error states?</x:v>
      </x:c>
      <x:c r="E250" s="108" t="str">
        <x:v>Yes</x:v>
      </x:c>
      <x:c r="F250" s="109" t="str">
        <x:v>Approve recommendation</x:v>
      </x:c>
      <x:c r="G250" s="110"/>
      <x:c r="H250" s="108" t="str">
        <x:f>IF(F250="Approve recommendation",E250,IF(F250="Modify / custom answer",G250,IF(F250="Reject","Rejected",IF(F250="Defer","Deferred",IF(F250="Needs evidence","Pending evidence","")))))</x:f>
        <x:v>Yes</x:v>
      </x:c>
      <x:c r="I250" s="107" t="str">
        <x:f>IF(F250="","Pending",IF(F250="Approve recommendation","Approved",IF(F250="Modify / custom answer",IF(G250="","Action Required","Approved with modification"),IF(F250="Reject","Rejected",IF(F250="Defer","Deferred",IF(F250="Needs evidence","Evidence Required","Pending"))))))</x:f>
        <x:v>Approved</x:v>
      </x:c>
      <x:c r="J250" s="107" t="str">
        <x:v>High</x:v>
      </x:c>
      <x:c r="K250" s="110" t="str">
        <x:v>Digital Design Lead + Engineering Lead + Accessibility QA</x:v>
      </x:c>
      <x:c r="L250" s="110"/>
      <x:c r="M250" s="108" t="str">
        <x:v>No</x:v>
      </x:c>
      <x:c r="N250" s="108" t="str"/>
      <x:c r="O250" s="108" t="str">
        <x:v>V2 audit</x:v>
      </x:c>
      <x:c r="P250" s="108" t="str">
        <x:v>SRC-02</x:v>
      </x:c>
      <x:c r="Q250" s="108" t="str"/>
      <x:c r="R250" s="108" t="str">
        <x:v>14 — Digital Product/UI</x:v>
      </x:c>
      <x:c r="S250" s="110" t="str">
        <x:v>ChatGPT prefill · 06 Oct 2026</x:v>
      </x:c>
    </x:row>
    <x:row r="251" ht="36" customHeight="1">
      <x:c r="A251" s="107" t="str">
        <x:v>Q16</x:v>
      </x:c>
      <x:c r="B251" s="107" t="str">
        <x:v>Digital product/UI system</x:v>
      </x:c>
      <x:c r="C251" s="107" t="str">
        <x:v>Brand decision</x:v>
      </x:c>
      <x:c r="D251" s="108" t="str">
        <x:v>Keyboard behavior documented?</x:v>
      </x:c>
      <x:c r="E251" s="108" t="str">
        <x:v>Yes</x:v>
      </x:c>
      <x:c r="F251" s="109" t="str">
        <x:v>Approve recommendation</x:v>
      </x:c>
      <x:c r="G251" s="110"/>
      <x:c r="H251" s="108" t="str">
        <x:f>IF(F251="Approve recommendation",E251,IF(F251="Modify / custom answer",G251,IF(F251="Reject","Rejected",IF(F251="Defer","Deferred",IF(F251="Needs evidence","Pending evidence","")))))</x:f>
        <x:v>Yes</x:v>
      </x:c>
      <x:c r="I251" s="107" t="str">
        <x:f>IF(F251="","Pending",IF(F251="Approve recommendation","Approved",IF(F251="Modify / custom answer",IF(G251="","Action Required","Approved with modification"),IF(F251="Reject","Rejected",IF(F251="Defer","Deferred",IF(F251="Needs evidence","Evidence Required","Pending"))))))</x:f>
        <x:v>Approved</x:v>
      </x:c>
      <x:c r="J251" s="107" t="str">
        <x:v>High</x:v>
      </x:c>
      <x:c r="K251" s="110" t="str">
        <x:v>Digital Design Lead + Engineering Lead + Accessibility QA</x:v>
      </x:c>
      <x:c r="L251" s="110"/>
      <x:c r="M251" s="108" t="str">
        <x:v>No</x:v>
      </x:c>
      <x:c r="N251" s="108" t="str"/>
      <x:c r="O251" s="108" t="str">
        <x:v>V2 audit</x:v>
      </x:c>
      <x:c r="P251" s="108" t="str">
        <x:v>SRC-02</x:v>
      </x:c>
      <x:c r="Q251" s="108" t="str"/>
      <x:c r="R251" s="108" t="str">
        <x:v>14 — Digital Product/UI</x:v>
      </x:c>
      <x:c r="S251" s="110" t="str">
        <x:v>ChatGPT prefill · 06 Oct 2026</x:v>
      </x:c>
    </x:row>
    <x:row r="252" ht="36" customHeight="1">
      <x:c r="A252" s="107" t="str">
        <x:v>Q17</x:v>
      </x:c>
      <x:c r="B252" s="107" t="str">
        <x:v>Digital product/UI system</x:v>
      </x:c>
      <x:c r="C252" s="107" t="str">
        <x:v>Brand decision</x:v>
      </x:c>
      <x:c r="D252" s="108" t="str">
        <x:v>Should responsive rules expand beyond the current single &lt;720px stacking rule?</x:v>
      </x:c>
      <x:c r="E252" s="108" t="str">
        <x:v>Yes — define compact/mobile, tablet, desktop and wide-desktop behaviour while keeping breakpoint count minimal and preserving reading order.</x:v>
      </x:c>
      <x:c r="F252" s="109" t="str">
        <x:v>Modify / custom answer</x:v>
      </x:c>
      <x:c r="G252" s="110" t="str">
        <x:v>Use four primary responsive layout classes: Compact ≤479px, Mobile 480–719px, Tablet 720–1023px, Desktop ≥1024px; treat ≥1440px as a wide max-width enhancement rather than a separate interaction model. Preserve reading order across all classes.</x:v>
      </x:c>
      <x:c r="H252" s="108" t="str">
        <x:f>IF(F252="Approve recommendation",E252,IF(F252="Modify / custom answer",G252,IF(F252="Reject","Rejected",IF(F252="Defer","Deferred",IF(F252="Needs evidence","Pending evidence","")))))</x:f>
        <x:v>Use four primary responsive layout classes: Compact ≤479px, Mobile 480–719px, Tablet 720–1023px, Desktop ≥1024px; treat ≥1440px as a wide max-width enhancement rather than a separate interaction model. Preserve reading order across all classes.</x:v>
      </x:c>
      <x:c r="I252" s="107" t="str">
        <x:f>IF(F252="","Pending",IF(F252="Approve recommendation","Approved",IF(F252="Modify / custom answer",IF(G252="","Action Required","Approved with modification"),IF(F252="Reject","Rejected",IF(F252="Defer","Deferred",IF(F252="Needs evidence","Evidence Required","Pending"))))))</x:f>
        <x:v>Approved with modification</x:v>
      </x:c>
      <x:c r="J252" s="107" t="str">
        <x:v>Critical</x:v>
      </x:c>
      <x:c r="K252" s="110" t="str">
        <x:v>Digital Design Lead + Engineering Lead</x:v>
      </x:c>
      <x:c r="L252" s="110" t="str">
        <x:v>Proposed responsive matrix for V3.0; validate with actual component/content behavior before code release.</x:v>
      </x:c>
      <x:c r="M252" s="108" t="str">
        <x:v>Yes</x:v>
      </x:c>
      <x:c r="N252" s="108" t="str">
        <x:v>Representative components and layouts are tested across the approved responsive matrix.</x:v>
      </x:c>
      <x:c r="O252" s="108" t="str">
        <x:v>GEM Design System v2.1 review</x:v>
      </x:c>
      <x:c r="P252" s="108" t="str">
        <x:v>SRC-04</x:v>
      </x:c>
      <x:c r="Q252" s="108" t="str"/>
      <x:c r="R252" s="108" t="str">
        <x:v>14 — Digital Product/UI</x:v>
      </x:c>
      <x:c r="S252" s="110" t="str">
        <x:v>ChatGPT prefill · 06 Oct 2026</x:v>
      </x:c>
    </x:row>
    <x:row r="253" ht="36" customHeight="1">
      <x:c r="A253" s="107" t="str">
        <x:v>Q18</x:v>
      </x:c>
      <x:c r="B253" s="107" t="str">
        <x:v>Digital product/UI system</x:v>
      </x:c>
      <x:c r="C253" s="107" t="str">
        <x:v>Brand decision</x:v>
      </x:c>
      <x:c r="D253" s="108" t="str">
        <x:v>Should RTL responsive behaviour be tested across the same responsive matrix?</x:v>
      </x:c>
      <x:c r="E253" s="108" t="str">
        <x:v>Yes — verify reflow, order, mixed-language content and focus/navigation behaviour at each approved layout class.</x:v>
      </x:c>
      <x:c r="F253" s="109" t="str">
        <x:v>Approve recommendation</x:v>
      </x:c>
      <x:c r="G253" s="110"/>
      <x:c r="H253" s="108" t="str">
        <x:f>IF(F253="Approve recommendation",E253,IF(F253="Modify / custom answer",G253,IF(F253="Reject","Rejected",IF(F253="Defer","Deferred",IF(F253="Needs evidence","Pending evidence","")))))</x:f>
        <x:v>Yes — verify reflow, order, mixed-language content and focus/navigation behaviour at each approved layout class.</x:v>
      </x:c>
      <x:c r="I253" s="107" t="str">
        <x:f>IF(F253="","Pending",IF(F253="Approve recommendation","Approved",IF(F253="Modify / custom answer",IF(G253="","Action Required","Approved with modification"),IF(F253="Reject","Rejected",IF(F253="Defer","Deferred",IF(F253="Needs evidence","Evidence Required","Pending"))))))</x:f>
        <x:v>Approved</x:v>
      </x:c>
      <x:c r="J253" s="107" t="str">
        <x:v>Critical</x:v>
      </x:c>
      <x:c r="K253" s="110" t="str">
        <x:v>Digital Design Lead + Engineering Lead + Arabic / Localization Lead</x:v>
      </x:c>
      <x:c r="L253" s="110"/>
      <x:c r="M253" s="108" t="str">
        <x:v>Yes</x:v>
      </x:c>
      <x:c r="N253" s="108" t="str">
        <x:v>Arabic/RTL responsive layouts pass native QA across the approved responsive matrix.</x:v>
      </x:c>
      <x:c r="O253" s="108" t="str">
        <x:v>GEM Design System v2.1 review</x:v>
      </x:c>
      <x:c r="P253" s="108" t="str">
        <x:v>SRC-04</x:v>
      </x:c>
      <x:c r="Q253" s="108" t="str"/>
      <x:c r="R253" s="108" t="str">
        <x:v>14 — Digital Product/UI</x:v>
      </x:c>
      <x:c r="S253" s="110" t="str">
        <x:v>ChatGPT prefill · 06 Oct 2026</x:v>
      </x:c>
    </x:row>
    <x:row r="254" ht="36" customHeight="1">
      <x:c r="A254" s="107" t="str">
        <x:v>Q19</x:v>
      </x:c>
      <x:c r="B254" s="107" t="str">
        <x:v>Digital product/UI system</x:v>
      </x:c>
      <x:c r="C254" s="107" t="str">
        <x:v>Decision + evidence</x:v>
      </x:c>
      <x:c r="D254" s="108" t="str">
        <x:v>Is a full application-level dark mode required?</x:v>
      </x:c>
      <x:c r="E254" s="108" t="str">
        <x:v>No by default — use dark signature surfaces via the existing dark-context treatment; add a full dark mode only if a product requirement is approved.</x:v>
      </x:c>
      <x:c r="F254" s="109" t="str">
        <x:v>Approve recommendation</x:v>
      </x:c>
      <x:c r="G254" s="110"/>
      <x:c r="H254" s="108" t="str">
        <x:f>IF(F254="Approve recommendation",E254,IF(F254="Modify / custom answer",G254,IF(F254="Reject","Rejected",IF(F254="Defer","Deferred",IF(F254="Needs evidence","Pending evidence","")))))</x:f>
        <x:v>No by default — use dark signature surfaces via the existing dark-context treatment; add a full dark mode only if a product requirement is approved.</x:v>
      </x:c>
      <x:c r="I254" s="107" t="str">
        <x:f>IF(F254="","Pending",IF(F254="Approve recommendation","Approved",IF(F254="Modify / custom answer",IF(G254="","Action Required","Approved with modification"),IF(F254="Reject","Rejected",IF(F254="Defer","Deferred",IF(F254="Needs evidence","Evidence Required","Pending"))))))</x:f>
        <x:v>Approved</x:v>
      </x:c>
      <x:c r="J254" s="107" t="str">
        <x:v>High</x:v>
      </x:c>
      <x:c r="K254" s="110" t="str">
        <x:v>Digital Design Lead + Engineering Lead + Accessibility QA</x:v>
      </x:c>
      <x:c r="L254" s="110"/>
      <x:c r="M254" s="108" t="str">
        <x:v>No</x:v>
      </x:c>
      <x:c r="N254" s="108" t="str"/>
      <x:c r="O254" s="108" t="str">
        <x:v>GEM Design System v2.1</x:v>
      </x:c>
      <x:c r="P254" s="108" t="str">
        <x:v>SRC-04</x:v>
      </x:c>
      <x:c r="Q254" s="108" t="str"/>
      <x:c r="R254" s="108" t="str">
        <x:v>14 — Digital Product/UI</x:v>
      </x:c>
      <x:c r="S254" s="110" t="str">
        <x:v>ChatGPT prefill · 06 Oct 2026</x:v>
      </x:c>
    </x:row>
    <x:row r="255" ht="36" customHeight="1">
      <x:c r="A255" s="107" t="str">
        <x:v>Q20</x:v>
      </x:c>
      <x:c r="B255" s="107" t="str">
        <x:v>Digital product/UI system</x:v>
      </x:c>
      <x:c r="C255" s="107" t="str">
        <x:v>Decision + evidence</x:v>
      </x:c>
      <x:c r="D255" s="108" t="str">
        <x:v>Is light mode the primary application mode?</x:v>
      </x:c>
      <x:c r="E255" s="108" t="str">
        <x:v>Yes — white canvas is the default product surface, with controlled Ink signature surfaces.</x:v>
      </x:c>
      <x:c r="F255" s="109" t="str">
        <x:v>Approve recommendation</x:v>
      </x:c>
      <x:c r="G255" s="110"/>
      <x:c r="H255" s="108" t="str">
        <x:f>IF(F255="Approve recommendation",E255,IF(F255="Modify / custom answer",G255,IF(F255="Reject","Rejected",IF(F255="Defer","Deferred",IF(F255="Needs evidence","Pending evidence","")))))</x:f>
        <x:v>Yes — white canvas is the default product surface, with controlled Ink signature surfaces.</x:v>
      </x:c>
      <x:c r="I255" s="107" t="str">
        <x:f>IF(F255="","Pending",IF(F255="Approve recommendation","Approved",IF(F255="Modify / custom answer",IF(G255="","Action Required","Approved with modification"),IF(F255="Reject","Rejected",IF(F255="Defer","Deferred",IF(F255="Needs evidence","Evidence Required","Pending"))))))</x:f>
        <x:v>Approved</x:v>
      </x:c>
      <x:c r="J255" s="107" t="str">
        <x:v>High</x:v>
      </x:c>
      <x:c r="K255" s="110" t="str">
        <x:v>Digital Design Lead + Engineering Lead + Accessibility QA</x:v>
      </x:c>
      <x:c r="L255" s="110"/>
      <x:c r="M255" s="108" t="str">
        <x:v>No</x:v>
      </x:c>
      <x:c r="N255" s="108" t="str"/>
      <x:c r="O255" s="108" t="str">
        <x:v>GEM Design System v2.1</x:v>
      </x:c>
      <x:c r="P255" s="108" t="str">
        <x:v>SRC-04</x:v>
      </x:c>
      <x:c r="Q255" s="108" t="str"/>
      <x:c r="R255" s="108" t="str">
        <x:v>14 — Digital Product/UI</x:v>
      </x:c>
      <x:c r="S255" s="110" t="str">
        <x:v>ChatGPT prefill · 06 Oct 2026</x:v>
      </x:c>
    </x:row>
    <x:row r="256" ht="36" customHeight="1">
      <x:c r="A256" s="107" t="str">
        <x:v>Q21</x:v>
      </x:c>
      <x:c r="B256" s="107" t="str">
        <x:v>Digital product/UI system</x:v>
      </x:c>
      <x:c r="C256" s="107" t="str">
        <x:v>Brand decision</x:v>
      </x:c>
      <x:c r="D256" s="108" t="str">
        <x:v>Should GEM digital interfaces ever introduce arbitrary accent colors for decoration?</x:v>
      </x:c>
      <x:c r="E256" s="108" t="str">
        <x:v>No</x:v>
      </x:c>
      <x:c r="F256" s="109" t="str">
        <x:v>Approve recommendation</x:v>
      </x:c>
      <x:c r="G256" s="110"/>
      <x:c r="H256" s="108" t="str">
        <x:f>IF(F256="Approve recommendation",E256,IF(F256="Modify / custom answer",G256,IF(F256="Reject","Rejected",IF(F256="Defer","Deferred",IF(F256="Needs evidence","Pending evidence","")))))</x:f>
        <x:v>No</x:v>
      </x:c>
      <x:c r="I256" s="107" t="str">
        <x:f>IF(F256="","Pending",IF(F256="Approve recommendation","Approved",IF(F256="Modify / custom answer",IF(G256="","Action Required","Approved with modification"),IF(F256="Reject","Rejected",IF(F256="Defer","Deferred",IF(F256="Needs evidence","Evidence Required","Pending"))))))</x:f>
        <x:v>Approved</x:v>
      </x:c>
      <x:c r="J256" s="107" t="str">
        <x:v>High</x:v>
      </x:c>
      <x:c r="K256" s="110" t="str">
        <x:v>Digital Design Lead + Engineering Lead + Accessibility QA</x:v>
      </x:c>
      <x:c r="L256" s="110"/>
      <x:c r="M256" s="108" t="str">
        <x:v>No</x:v>
      </x:c>
      <x:c r="N256" s="108" t="str"/>
      <x:c r="O256" s="108" t="str">
        <x:v>V2 audit</x:v>
      </x:c>
      <x:c r="P256" s="108" t="str">
        <x:v>SRC-02</x:v>
      </x:c>
      <x:c r="Q256" s="108" t="str"/>
      <x:c r="R256" s="108" t="str">
        <x:v>14 — Digital Product/UI</x:v>
      </x:c>
      <x:c r="S256" s="110" t="str">
        <x:v>ChatGPT prefill · 06 Oct 2026</x:v>
      </x:c>
    </x:row>
    <x:row r="257" ht="36" customHeight="1">
      <x:c r="A257" s="107" t="str">
        <x:v>R01</x:v>
      </x:c>
      <x:c r="B257" s="107" t="str">
        <x:v>Hospitality guest-experience applications</x:v>
      </x:c>
      <x:c r="C257" s="107" t="str">
        <x:v>Brand decision</x:v>
      </x:c>
      <x:c r="D257" s="108" t="str">
        <x:v>Include key card application in V3.0?</x:v>
      </x:c>
      <x:c r="E257" s="108" t="str">
        <x:v>Yes</x:v>
      </x:c>
      <x:c r="F257" s="109" t="str">
        <x:v>Approve recommendation</x:v>
      </x:c>
      <x:c r="G257" s="110"/>
      <x:c r="H257" s="108" t="str">
        <x:f>IF(F257="Approve recommendation",E257,IF(F257="Modify / custom answer",G257,IF(F257="Reject","Rejected",IF(F257="Defer","Deferred",IF(F257="Needs evidence","Pending evidence","")))))</x:f>
        <x:v>Yes</x:v>
      </x:c>
      <x:c r="I257" s="107" t="str">
        <x:f>IF(F257="","Pending",IF(F257="Approve recommendation","Approved",IF(F257="Modify / custom answer",IF(G257="","Action Required","Approved with modification"),IF(F257="Reject","Rejected",IF(F257="Defer","Deferred",IF(F257="Needs evidence","Evidence Required","Pending"))))))</x:f>
        <x:v>Approved</x:v>
      </x:c>
      <x:c r="J257" s="107" t="str">
        <x:v>High</x:v>
      </x:c>
      <x:c r="K257" s="110" t="str">
        <x:v>Brand Owner + Design Custodian</x:v>
      </x:c>
      <x:c r="L257" s="110"/>
      <x:c r="M257" s="108" t="str">
        <x:v>No</x:v>
      </x:c>
      <x:c r="N257" s="108" t="str"/>
      <x:c r="O257" s="108" t="str">
        <x:v>V2 guideline</x:v>
      </x:c>
      <x:c r="P257" s="108" t="str">
        <x:v>SRC-01</x:v>
      </x:c>
      <x:c r="Q257" s="108" t="str"/>
      <x:c r="R257" s="108" t="str">
        <x:v>15 — Guest Experience Applications</x:v>
      </x:c>
      <x:c r="S257" s="110" t="str">
        <x:v>ChatGPT prefill · 06 Oct 2026</x:v>
      </x:c>
    </x:row>
    <x:row r="258" ht="36" customHeight="1">
      <x:c r="A258" s="107" t="str">
        <x:v>R02</x:v>
      </x:c>
      <x:c r="B258" s="107" t="str">
        <x:v>Hospitality guest-experience applications</x:v>
      </x:c>
      <x:c r="C258" s="107" t="str">
        <x:v>Brand decision</x:v>
      </x:c>
      <x:c r="D258" s="108" t="str">
        <x:v>Include key card folder/sleeve application in V3.0?</x:v>
      </x:c>
      <x:c r="E258" s="108" t="str">
        <x:v>Yes</x:v>
      </x:c>
      <x:c r="F258" s="109" t="str">
        <x:v>Approve recommendation</x:v>
      </x:c>
      <x:c r="G258" s="110"/>
      <x:c r="H258" s="108" t="str">
        <x:f>IF(F258="Approve recommendation",E258,IF(F258="Modify / custom answer",G258,IF(F258="Reject","Rejected",IF(F258="Defer","Deferred",IF(F258="Needs evidence","Pending evidence","")))))</x:f>
        <x:v>Yes</x:v>
      </x:c>
      <x:c r="I258" s="107" t="str">
        <x:f>IF(F258="","Pending",IF(F258="Approve recommendation","Approved",IF(F258="Modify / custom answer",IF(G258="","Action Required","Approved with modification"),IF(F258="Reject","Rejected",IF(F258="Defer","Deferred",IF(F258="Needs evidence","Evidence Required","Pending"))))))</x:f>
        <x:v>Approved</x:v>
      </x:c>
      <x:c r="J258" s="107" t="str">
        <x:v>High</x:v>
      </x:c>
      <x:c r="K258" s="110" t="str">
        <x:v>Brand Owner + Design Custodian</x:v>
      </x:c>
      <x:c r="L258" s="110"/>
      <x:c r="M258" s="108" t="str">
        <x:v>No</x:v>
      </x:c>
      <x:c r="N258" s="108" t="str"/>
      <x:c r="O258" s="108" t="str">
        <x:v>V2 guideline</x:v>
      </x:c>
      <x:c r="P258" s="108" t="str">
        <x:v>SRC-01</x:v>
      </x:c>
      <x:c r="Q258" s="108" t="str"/>
      <x:c r="R258" s="108" t="str">
        <x:v>15 — Guest Experience Applications</x:v>
      </x:c>
      <x:c r="S258" s="110" t="str">
        <x:v>ChatGPT prefill · 06 Oct 2026</x:v>
      </x:c>
    </x:row>
    <x:row r="259" ht="36" customHeight="1">
      <x:c r="A259" s="107" t="str">
        <x:v>R03</x:v>
      </x:c>
      <x:c r="B259" s="107" t="str">
        <x:v>Hospitality guest-experience applications</x:v>
      </x:c>
      <x:c r="C259" s="107" t="str">
        <x:v>Brand decision</x:v>
      </x:c>
      <x:c r="D259" s="108" t="str">
        <x:v>Include door hanger application in V3.0?</x:v>
      </x:c>
      <x:c r="E259" s="108" t="str">
        <x:v>Yes</x:v>
      </x:c>
      <x:c r="F259" s="109" t="str">
        <x:v>Approve recommendation</x:v>
      </x:c>
      <x:c r="G259" s="110"/>
      <x:c r="H259" s="108" t="str">
        <x:f>IF(F259="Approve recommendation",E259,IF(F259="Modify / custom answer",G259,IF(F259="Reject","Rejected",IF(F259="Defer","Deferred",IF(F259="Needs evidence","Pending evidence","")))))</x:f>
        <x:v>Yes</x:v>
      </x:c>
      <x:c r="I259" s="107" t="str">
        <x:f>IF(F259="","Pending",IF(F259="Approve recommendation","Approved",IF(F259="Modify / custom answer",IF(G259="","Action Required","Approved with modification"),IF(F259="Reject","Rejected",IF(F259="Defer","Deferred",IF(F259="Needs evidence","Evidence Required","Pending"))))))</x:f>
        <x:v>Approved</x:v>
      </x:c>
      <x:c r="J259" s="107" t="str">
        <x:v>High</x:v>
      </x:c>
      <x:c r="K259" s="110" t="str">
        <x:v>Brand Owner + Design Custodian</x:v>
      </x:c>
      <x:c r="L259" s="110"/>
      <x:c r="M259" s="108" t="str">
        <x:v>No</x:v>
      </x:c>
      <x:c r="N259" s="108" t="str"/>
      <x:c r="O259" s="108" t="str">
        <x:v>V2 guideline</x:v>
      </x:c>
      <x:c r="P259" s="108" t="str">
        <x:v>SRC-01</x:v>
      </x:c>
      <x:c r="Q259" s="108" t="str"/>
      <x:c r="R259" s="108" t="str">
        <x:v>15 — Guest Experience Applications</x:v>
      </x:c>
      <x:c r="S259" s="110" t="str">
        <x:v>ChatGPT prefill · 06 Oct 2026</x:v>
      </x:c>
    </x:row>
    <x:row r="260" ht="36" customHeight="1">
      <x:c r="A260" s="107" t="str">
        <x:v>R04</x:v>
      </x:c>
      <x:c r="B260" s="107" t="str">
        <x:v>Hospitality guest-experience applications</x:v>
      </x:c>
      <x:c r="C260" s="107" t="str">
        <x:v>Brand decision</x:v>
      </x:c>
      <x:c r="D260" s="108" t="str">
        <x:v>Include in-room stationery application in V3.0?</x:v>
      </x:c>
      <x:c r="E260" s="108" t="str">
        <x:v>Yes</x:v>
      </x:c>
      <x:c r="F260" s="109" t="str">
        <x:v>Approve recommendation</x:v>
      </x:c>
      <x:c r="G260" s="110"/>
      <x:c r="H260" s="108" t="str">
        <x:f>IF(F260="Approve recommendation",E260,IF(F260="Modify / custom answer",G260,IF(F260="Reject","Rejected",IF(F260="Defer","Deferred",IF(F260="Needs evidence","Pending evidence","")))))</x:f>
        <x:v>Yes</x:v>
      </x:c>
      <x:c r="I260" s="107" t="str">
        <x:f>IF(F260="","Pending",IF(F260="Approve recommendation","Approved",IF(F260="Modify / custom answer",IF(G260="","Action Required","Approved with modification"),IF(F260="Reject","Rejected",IF(F260="Defer","Deferred",IF(F260="Needs evidence","Evidence Required","Pending"))))))</x:f>
        <x:v>Approved</x:v>
      </x:c>
      <x:c r="J260" s="107" t="str">
        <x:v>High</x:v>
      </x:c>
      <x:c r="K260" s="110" t="str">
        <x:v>Brand Owner + Design Custodian</x:v>
      </x:c>
      <x:c r="L260" s="110"/>
      <x:c r="M260" s="108" t="str">
        <x:v>No</x:v>
      </x:c>
      <x:c r="N260" s="108" t="str"/>
      <x:c r="O260" s="108" t="str">
        <x:v>V2 guideline</x:v>
      </x:c>
      <x:c r="P260" s="108" t="str">
        <x:v>SRC-01</x:v>
      </x:c>
      <x:c r="Q260" s="108" t="str"/>
      <x:c r="R260" s="108" t="str">
        <x:v>15 — Guest Experience Applications</x:v>
      </x:c>
      <x:c r="S260" s="110" t="str">
        <x:v>ChatGPT prefill · 06 Oct 2026</x:v>
      </x:c>
    </x:row>
    <x:row r="261" ht="36" customHeight="1">
      <x:c r="A261" s="107" t="str">
        <x:v>R05</x:v>
      </x:c>
      <x:c r="B261" s="107" t="str">
        <x:v>Hospitality guest-experience applications</x:v>
      </x:c>
      <x:c r="C261" s="107" t="str">
        <x:v>Brand decision</x:v>
      </x:c>
      <x:c r="D261" s="108" t="str">
        <x:v>Include welcome card application in V3.0?</x:v>
      </x:c>
      <x:c r="E261" s="108" t="str">
        <x:v>Yes</x:v>
      </x:c>
      <x:c r="F261" s="109" t="str">
        <x:v>Approve recommendation</x:v>
      </x:c>
      <x:c r="G261" s="110"/>
      <x:c r="H261" s="108" t="str">
        <x:f>IF(F261="Approve recommendation",E261,IF(F261="Modify / custom answer",G261,IF(F261="Reject","Rejected",IF(F261="Defer","Deferred",IF(F261="Needs evidence","Pending evidence","")))))</x:f>
        <x:v>Yes</x:v>
      </x:c>
      <x:c r="I261" s="107" t="str">
        <x:f>IF(F261="","Pending",IF(F261="Approve recommendation","Approved",IF(F261="Modify / custom answer",IF(G261="","Action Required","Approved with modification"),IF(F261="Reject","Rejected",IF(F261="Defer","Deferred",IF(F261="Needs evidence","Evidence Required","Pending"))))))</x:f>
        <x:v>Approved</x:v>
      </x:c>
      <x:c r="J261" s="107" t="str">
        <x:v>High</x:v>
      </x:c>
      <x:c r="K261" s="110" t="str">
        <x:v>Brand Owner + Design Custodian</x:v>
      </x:c>
      <x:c r="L261" s="110"/>
      <x:c r="M261" s="108" t="str">
        <x:v>No</x:v>
      </x:c>
      <x:c r="N261" s="108" t="str"/>
      <x:c r="O261" s="108" t="str">
        <x:v>V2 guideline</x:v>
      </x:c>
      <x:c r="P261" s="108" t="str">
        <x:v>SRC-01</x:v>
      </x:c>
      <x:c r="Q261" s="108" t="str"/>
      <x:c r="R261" s="108" t="str">
        <x:v>15 — Guest Experience Applications</x:v>
      </x:c>
      <x:c r="S261" s="110" t="str">
        <x:v>ChatGPT prefill · 06 Oct 2026</x:v>
      </x:c>
    </x:row>
    <x:row r="262" ht="36" customHeight="1">
      <x:c r="A262" s="107" t="str">
        <x:v>R06</x:v>
      </x:c>
      <x:c r="B262" s="107" t="str">
        <x:v>Hospitality guest-experience applications</x:v>
      </x:c>
      <x:c r="C262" s="107" t="str">
        <x:v>Brand decision</x:v>
      </x:c>
      <x:c r="D262" s="108" t="str">
        <x:v>Include guest directory application in V3.0?</x:v>
      </x:c>
      <x:c r="E262" s="108" t="str">
        <x:v>Yes if used</x:v>
      </x:c>
      <x:c r="F262" s="109" t="str">
        <x:v>Approve recommendation</x:v>
      </x:c>
      <x:c r="G262" s="110"/>
      <x:c r="H262" s="108" t="str">
        <x:f>IF(F262="Approve recommendation",E262,IF(F262="Modify / custom answer",G262,IF(F262="Reject","Rejected",IF(F262="Defer","Deferred",IF(F262="Needs evidence","Pending evidence","")))))</x:f>
        <x:v>Yes if used</x:v>
      </x:c>
      <x:c r="I262" s="107" t="str">
        <x:f>IF(F262="","Pending",IF(F262="Approve recommendation","Approved",IF(F262="Modify / custom answer",IF(G262="","Action Required","Approved with modification"),IF(F262="Reject","Rejected",IF(F262="Defer","Deferred",IF(F262="Needs evidence","Evidence Required","Pending"))))))</x:f>
        <x:v>Approved</x:v>
      </x:c>
      <x:c r="J262" s="107" t="str">
        <x:v>High</x:v>
      </x:c>
      <x:c r="K262" s="110" t="str">
        <x:v>Brand Owner + Design Custodian</x:v>
      </x:c>
      <x:c r="L262" s="110"/>
      <x:c r="M262" s="108" t="str">
        <x:v>No</x:v>
      </x:c>
      <x:c r="N262" s="108" t="str"/>
      <x:c r="O262" s="108" t="str">
        <x:v>V2 guideline</x:v>
      </x:c>
      <x:c r="P262" s="108" t="str">
        <x:v>SRC-01</x:v>
      </x:c>
      <x:c r="Q262" s="108" t="str"/>
      <x:c r="R262" s="108" t="str">
        <x:v>15 — Guest Experience Applications</x:v>
      </x:c>
      <x:c r="S262" s="110" t="str">
        <x:v>ChatGPT prefill · 06 Oct 2026</x:v>
      </x:c>
    </x:row>
    <x:row r="263" ht="36" customHeight="1">
      <x:c r="A263" s="107" t="str">
        <x:v>R07</x:v>
      </x:c>
      <x:c r="B263" s="107" t="str">
        <x:v>Hospitality guest-experience applications</x:v>
      </x:c>
      <x:c r="C263" s="107" t="str">
        <x:v>Brand decision</x:v>
      </x:c>
      <x:c r="D263" s="108" t="str">
        <x:v>Include menu application in V3.0?</x:v>
      </x:c>
      <x:c r="E263" s="108" t="str">
        <x:v>Yes</x:v>
      </x:c>
      <x:c r="F263" s="109" t="str">
        <x:v>Approve recommendation</x:v>
      </x:c>
      <x:c r="G263" s="110"/>
      <x:c r="H263" s="108" t="str">
        <x:f>IF(F263="Approve recommendation",E263,IF(F263="Modify / custom answer",G263,IF(F263="Reject","Rejected",IF(F263="Defer","Deferred",IF(F263="Needs evidence","Pending evidence","")))))</x:f>
        <x:v>Yes</x:v>
      </x:c>
      <x:c r="I263" s="107" t="str">
        <x:f>IF(F263="","Pending",IF(F263="Approve recommendation","Approved",IF(F263="Modify / custom answer",IF(G263="","Action Required","Approved with modification"),IF(F263="Reject","Rejected",IF(F263="Defer","Deferred",IF(F263="Needs evidence","Evidence Required","Pending"))))))</x:f>
        <x:v>Approved</x:v>
      </x:c>
      <x:c r="J263" s="107" t="str">
        <x:v>High</x:v>
      </x:c>
      <x:c r="K263" s="110" t="str">
        <x:v>Brand Owner + Design Custodian</x:v>
      </x:c>
      <x:c r="L263" s="110"/>
      <x:c r="M263" s="108" t="str">
        <x:v>No</x:v>
      </x:c>
      <x:c r="N263" s="108" t="str"/>
      <x:c r="O263" s="108" t="str">
        <x:v>V2 guideline</x:v>
      </x:c>
      <x:c r="P263" s="108" t="str">
        <x:v>SRC-01</x:v>
      </x:c>
      <x:c r="Q263" s="108" t="str"/>
      <x:c r="R263" s="108" t="str">
        <x:v>15 — Guest Experience Applications</x:v>
      </x:c>
      <x:c r="S263" s="110" t="str">
        <x:v>ChatGPT prefill · 06 Oct 2026</x:v>
      </x:c>
    </x:row>
    <x:row r="264" ht="36" customHeight="1">
      <x:c r="A264" s="107" t="str">
        <x:v>R08</x:v>
      </x:c>
      <x:c r="B264" s="107" t="str">
        <x:v>Hospitality guest-experience applications</x:v>
      </x:c>
      <x:c r="C264" s="107" t="str">
        <x:v>Brand decision</x:v>
      </x:c>
      <x:c r="D264" s="108" t="str">
        <x:v>Include spa/wellness collateral application in V3.0?</x:v>
      </x:c>
      <x:c r="E264" s="108" t="str">
        <x:v>If relevant</x:v>
      </x:c>
      <x:c r="F264" s="109" t="str">
        <x:v>Approve recommendation</x:v>
      </x:c>
      <x:c r="G264" s="110"/>
      <x:c r="H264" s="108" t="str">
        <x:f>IF(F264="Approve recommendation",E264,IF(F264="Modify / custom answer",G264,IF(F264="Reject","Rejected",IF(F264="Defer","Deferred",IF(F264="Needs evidence","Pending evidence","")))))</x:f>
        <x:v>If relevant</x:v>
      </x:c>
      <x:c r="I264" s="107" t="str">
        <x:f>IF(F264="","Pending",IF(F264="Approve recommendation","Approved",IF(F264="Modify / custom answer",IF(G264="","Action Required","Approved with modification"),IF(F264="Reject","Rejected",IF(F264="Defer","Deferred",IF(F264="Needs evidence","Evidence Required","Pending"))))))</x:f>
        <x:v>Approved</x:v>
      </x:c>
      <x:c r="J264" s="107" t="str">
        <x:v>High</x:v>
      </x:c>
      <x:c r="K264" s="110" t="str">
        <x:v>Brand Owner + Design Custodian</x:v>
      </x:c>
      <x:c r="L264" s="110"/>
      <x:c r="M264" s="108" t="str">
        <x:v>No</x:v>
      </x:c>
      <x:c r="N264" s="108" t="str"/>
      <x:c r="O264" s="108" t="str">
        <x:v>V2 guideline</x:v>
      </x:c>
      <x:c r="P264" s="108" t="str">
        <x:v>SRC-01</x:v>
      </x:c>
      <x:c r="Q264" s="108" t="str"/>
      <x:c r="R264" s="108" t="str">
        <x:v>15 — Guest Experience Applications</x:v>
      </x:c>
      <x:c r="S264" s="110" t="str">
        <x:v>ChatGPT prefill · 06 Oct 2026</x:v>
      </x:c>
    </x:row>
    <x:row r="265" ht="36" customHeight="1">
      <x:c r="A265" s="107" t="str">
        <x:v>R09</x:v>
      </x:c>
      <x:c r="B265" s="107" t="str">
        <x:v>Hospitality guest-experience applications</x:v>
      </x:c>
      <x:c r="C265" s="107" t="str">
        <x:v>Brand decision</x:v>
      </x:c>
      <x:c r="D265" s="108" t="str">
        <x:v>Include room amenity collateral application in V3.0?</x:v>
      </x:c>
      <x:c r="E265" s="108" t="str">
        <x:v>Yes</x:v>
      </x:c>
      <x:c r="F265" s="109" t="str">
        <x:v>Approve recommendation</x:v>
      </x:c>
      <x:c r="G265" s="110"/>
      <x:c r="H265" s="108" t="str">
        <x:f>IF(F265="Approve recommendation",E265,IF(F265="Modify / custom answer",G265,IF(F265="Reject","Rejected",IF(F265="Defer","Deferred",IF(F265="Needs evidence","Pending evidence","")))))</x:f>
        <x:v>Yes</x:v>
      </x:c>
      <x:c r="I265" s="107" t="str">
        <x:f>IF(F265="","Pending",IF(F265="Approve recommendation","Approved",IF(F265="Modify / custom answer",IF(G265="","Action Required","Approved with modification"),IF(F265="Reject","Rejected",IF(F265="Defer","Deferred",IF(F265="Needs evidence","Evidence Required","Pending"))))))</x:f>
        <x:v>Approved</x:v>
      </x:c>
      <x:c r="J265" s="107" t="str">
        <x:v>High</x:v>
      </x:c>
      <x:c r="K265" s="110" t="str">
        <x:v>Brand Owner + Design Custodian</x:v>
      </x:c>
      <x:c r="L265" s="110"/>
      <x:c r="M265" s="108" t="str">
        <x:v>No</x:v>
      </x:c>
      <x:c r="N265" s="108" t="str"/>
      <x:c r="O265" s="108" t="str">
        <x:v>V2 guideline</x:v>
      </x:c>
      <x:c r="P265" s="108" t="str">
        <x:v>SRC-01</x:v>
      </x:c>
      <x:c r="Q265" s="108" t="str"/>
      <x:c r="R265" s="108" t="str">
        <x:v>15 — Guest Experience Applications</x:v>
      </x:c>
      <x:c r="S265" s="110" t="str">
        <x:v>ChatGPT prefill · 06 Oct 2026</x:v>
      </x:c>
    </x:row>
    <x:row r="266" ht="36" customHeight="1">
      <x:c r="A266" s="107" t="str">
        <x:v>R10</x:v>
      </x:c>
      <x:c r="B266" s="107" t="str">
        <x:v>Hospitality guest-experience applications</x:v>
      </x:c>
      <x:c r="C266" s="107" t="str">
        <x:v>Brand decision</x:v>
      </x:c>
      <x:c r="D266" s="108" t="str">
        <x:v>Include packaging application in V3.0?</x:v>
      </x:c>
      <x:c r="E266" s="108" t="str">
        <x:v>Yes</x:v>
      </x:c>
      <x:c r="F266" s="109" t="str">
        <x:v>Approve recommendation</x:v>
      </x:c>
      <x:c r="G266" s="110"/>
      <x:c r="H266" s="108" t="str">
        <x:f>IF(F266="Approve recommendation",E266,IF(F266="Modify / custom answer",G266,IF(F266="Reject","Rejected",IF(F266="Defer","Deferred",IF(F266="Needs evidence","Pending evidence","")))))</x:f>
        <x:v>Yes</x:v>
      </x:c>
      <x:c r="I266" s="107" t="str">
        <x:f>IF(F266="","Pending",IF(F266="Approve recommendation","Approved",IF(F266="Modify / custom answer",IF(G266="","Action Required","Approved with modification"),IF(F266="Reject","Rejected",IF(F266="Defer","Deferred",IF(F266="Needs evidence","Evidence Required","Pending"))))))</x:f>
        <x:v>Approved</x:v>
      </x:c>
      <x:c r="J266" s="107" t="str">
        <x:v>High</x:v>
      </x:c>
      <x:c r="K266" s="110" t="str">
        <x:v>Brand Owner + Design Custodian</x:v>
      </x:c>
      <x:c r="L266" s="110"/>
      <x:c r="M266" s="108" t="str">
        <x:v>No</x:v>
      </x:c>
      <x:c r="N266" s="108" t="str"/>
      <x:c r="O266" s="108" t="str">
        <x:v>V2 guideline</x:v>
      </x:c>
      <x:c r="P266" s="108" t="str">
        <x:v>SRC-01</x:v>
      </x:c>
      <x:c r="Q266" s="108" t="str"/>
      <x:c r="R266" s="108" t="str">
        <x:v>15 — Guest Experience Applications</x:v>
      </x:c>
      <x:c r="S266" s="110" t="str">
        <x:v>ChatGPT prefill · 06 Oct 2026</x:v>
      </x:c>
    </x:row>
    <x:row r="267" ht="36" customHeight="1">
      <x:c r="A267" s="107" t="str">
        <x:v>R11</x:v>
      </x:c>
      <x:c r="B267" s="107" t="str">
        <x:v>Hospitality guest-experience applications</x:v>
      </x:c>
      <x:c r="C267" s="107" t="str">
        <x:v>Brand decision</x:v>
      </x:c>
      <x:c r="D267" s="108" t="str">
        <x:v>Include concierge/digital arrival application in V3.0?</x:v>
      </x:c>
      <x:c r="E267" s="108" t="str">
        <x:v>Yes</x:v>
      </x:c>
      <x:c r="F267" s="109" t="str">
        <x:v>Approve recommendation</x:v>
      </x:c>
      <x:c r="G267" s="110"/>
      <x:c r="H267" s="108" t="str">
        <x:f>IF(F267="Approve recommendation",E267,IF(F267="Modify / custom answer",G267,IF(F267="Reject","Rejected",IF(F267="Defer","Deferred",IF(F267="Needs evidence","Pending evidence","")))))</x:f>
        <x:v>Yes</x:v>
      </x:c>
      <x:c r="I267" s="107" t="str">
        <x:f>IF(F267="","Pending",IF(F267="Approve recommendation","Approved",IF(F267="Modify / custom answer",IF(G267="","Action Required","Approved with modification"),IF(F267="Reject","Rejected",IF(F267="Defer","Deferred",IF(F267="Needs evidence","Evidence Required","Pending"))))))</x:f>
        <x:v>Approved</x:v>
      </x:c>
      <x:c r="J267" s="107" t="str">
        <x:v>High</x:v>
      </x:c>
      <x:c r="K267" s="110" t="str">
        <x:v>Brand Owner + Design Custodian</x:v>
      </x:c>
      <x:c r="L267" s="110"/>
      <x:c r="M267" s="108" t="str">
        <x:v>No</x:v>
      </x:c>
      <x:c r="N267" s="108" t="str"/>
      <x:c r="O267" s="108" t="str">
        <x:v>V2 guideline</x:v>
      </x:c>
      <x:c r="P267" s="108" t="str">
        <x:v>SRC-01</x:v>
      </x:c>
      <x:c r="Q267" s="108" t="str"/>
      <x:c r="R267" s="108" t="str">
        <x:v>15 — Guest Experience Applications</x:v>
      </x:c>
      <x:c r="S267" s="110" t="str">
        <x:v>ChatGPT prefill · 06 Oct 2026</x:v>
      </x:c>
    </x:row>
    <x:row r="268" ht="36" customHeight="1">
      <x:c r="A268" s="107" t="str">
        <x:v>R12</x:v>
      </x:c>
      <x:c r="B268" s="107" t="str">
        <x:v>Hospitality guest-experience applications</x:v>
      </x:c>
      <x:c r="C268" s="107" t="str">
        <x:v>Decision + evidence</x:v>
      </x:c>
      <x:c r="D268" s="108" t="str">
        <x:v>Include reservation confirmation application in V3.0?</x:v>
      </x:c>
      <x:c r="E268" s="108" t="str">
        <x:v>Yes</x:v>
      </x:c>
      <x:c r="F268" s="109" t="str">
        <x:v>Approve recommendation</x:v>
      </x:c>
      <x:c r="G268" s="110"/>
      <x:c r="H268" s="108" t="str">
        <x:f>IF(F268="Approve recommendation",E268,IF(F268="Modify / custom answer",G268,IF(F268="Reject","Rejected",IF(F268="Defer","Deferred",IF(F268="Needs evidence","Pending evidence","")))))</x:f>
        <x:v>Yes</x:v>
      </x:c>
      <x:c r="I268" s="107" t="str">
        <x:f>IF(F268="","Pending",IF(F268="Approve recommendation","Approved",IF(F268="Modify / custom answer",IF(G268="","Action Required","Approved with modification"),IF(F268="Reject","Rejected",IF(F268="Defer","Deferred",IF(F268="Needs evidence","Evidence Required","Pending"))))))</x:f>
        <x:v>Approved</x:v>
      </x:c>
      <x:c r="J268" s="107" t="str">
        <x:v>High</x:v>
      </x:c>
      <x:c r="K268" s="110" t="str">
        <x:v>Brand Owner + Design Custodian</x:v>
      </x:c>
      <x:c r="L268" s="110"/>
      <x:c r="M268" s="108" t="str">
        <x:v>No</x:v>
      </x:c>
      <x:c r="N268" s="108" t="str"/>
      <x:c r="O268" s="108" t="str">
        <x:v>V2 guideline</x:v>
      </x:c>
      <x:c r="P268" s="108" t="str">
        <x:v>SRC-01</x:v>
      </x:c>
      <x:c r="Q268" s="108" t="str"/>
      <x:c r="R268" s="108" t="str">
        <x:v>15 — Guest Experience Applications</x:v>
      </x:c>
      <x:c r="S268" s="110" t="str">
        <x:v>ChatGPT prefill · 06 Oct 2026</x:v>
      </x:c>
    </x:row>
    <x:row r="269" ht="36" customHeight="1">
      <x:c r="A269" s="107" t="str">
        <x:v>R13</x:v>
      </x:c>
      <x:c r="B269" s="107" t="str">
        <x:v>Hospitality guest-experience applications</x:v>
      </x:c>
      <x:c r="C269" s="107" t="str">
        <x:v>Brand decision</x:v>
      </x:c>
      <x:c r="D269" s="108" t="str">
        <x:v>Include email communications application in V3.0?</x:v>
      </x:c>
      <x:c r="E269" s="108" t="str">
        <x:v>Yes</x:v>
      </x:c>
      <x:c r="F269" s="109" t="str">
        <x:v>Approve recommendation</x:v>
      </x:c>
      <x:c r="G269" s="110"/>
      <x:c r="H269" s="108" t="str">
        <x:f>IF(F269="Approve recommendation",E269,IF(F269="Modify / custom answer",G269,IF(F269="Reject","Rejected",IF(F269="Defer","Deferred",IF(F269="Needs evidence","Pending evidence","")))))</x:f>
        <x:v>Yes</x:v>
      </x:c>
      <x:c r="I269" s="107" t="str">
        <x:f>IF(F269="","Pending",IF(F269="Approve recommendation","Approved",IF(F269="Modify / custom answer",IF(G269="","Action Required","Approved with modification"),IF(F269="Reject","Rejected",IF(F269="Defer","Deferred",IF(F269="Needs evidence","Evidence Required","Pending"))))))</x:f>
        <x:v>Approved</x:v>
      </x:c>
      <x:c r="J269" s="107" t="str">
        <x:v>High</x:v>
      </x:c>
      <x:c r="K269" s="110" t="str">
        <x:v>Brand Owner + Design Custodian</x:v>
      </x:c>
      <x:c r="L269" s="110"/>
      <x:c r="M269" s="108" t="str">
        <x:v>No</x:v>
      </x:c>
      <x:c r="N269" s="108" t="str"/>
      <x:c r="O269" s="108" t="str">
        <x:v>V2 guideline</x:v>
      </x:c>
      <x:c r="P269" s="108" t="str">
        <x:v>SRC-01</x:v>
      </x:c>
      <x:c r="Q269" s="108" t="str"/>
      <x:c r="R269" s="108" t="str">
        <x:v>15 — Guest Experience Applications</x:v>
      </x:c>
      <x:c r="S269" s="110" t="str">
        <x:v>ChatGPT prefill · 06 Oct 2026</x:v>
      </x:c>
    </x:row>
    <x:row r="270" ht="36" customHeight="1">
      <x:c r="A270" s="107" t="str">
        <x:v>R14</x:v>
      </x:c>
      <x:c r="B270" s="107" t="str">
        <x:v>Hospitality guest-experience applications</x:v>
      </x:c>
      <x:c r="C270" s="107" t="str">
        <x:v>Brand decision</x:v>
      </x:c>
      <x:c r="D270" s="108" t="str">
        <x:v>Include social channels application in V3.0?</x:v>
      </x:c>
      <x:c r="E270" s="108" t="str">
        <x:v>Yes</x:v>
      </x:c>
      <x:c r="F270" s="109" t="str">
        <x:v>Approve recommendation</x:v>
      </x:c>
      <x:c r="G270" s="110"/>
      <x:c r="H270" s="108" t="str">
        <x:f>IF(F270="Approve recommendation",E270,IF(F270="Modify / custom answer",G270,IF(F270="Reject","Rejected",IF(F270="Defer","Deferred",IF(F270="Needs evidence","Pending evidence","")))))</x:f>
        <x:v>Yes</x:v>
      </x:c>
      <x:c r="I270" s="107" t="str">
        <x:f>IF(F270="","Pending",IF(F270="Approve recommendation","Approved",IF(F270="Modify / custom answer",IF(G270="","Action Required","Approved with modification"),IF(F270="Reject","Rejected",IF(F270="Defer","Deferred",IF(F270="Needs evidence","Evidence Required","Pending"))))))</x:f>
        <x:v>Approved</x:v>
      </x:c>
      <x:c r="J270" s="107" t="str">
        <x:v>High</x:v>
      </x:c>
      <x:c r="K270" s="110" t="str">
        <x:v>Brand Owner + Design Custodian</x:v>
      </x:c>
      <x:c r="L270" s="110"/>
      <x:c r="M270" s="108" t="str">
        <x:v>No</x:v>
      </x:c>
      <x:c r="N270" s="108" t="str"/>
      <x:c r="O270" s="108" t="str">
        <x:v>V2 guideline</x:v>
      </x:c>
      <x:c r="P270" s="108" t="str">
        <x:v>SRC-01</x:v>
      </x:c>
      <x:c r="Q270" s="108" t="str"/>
      <x:c r="R270" s="108" t="str">
        <x:v>15 — Guest Experience Applications</x:v>
      </x:c>
      <x:c r="S270" s="110" t="str">
        <x:v>ChatGPT prefill · 06 Oct 2026</x:v>
      </x:c>
    </x:row>
    <x:row r="271" ht="36" customHeight="1">
      <x:c r="A271" s="107" t="str">
        <x:v>R15</x:v>
      </x:c>
      <x:c r="B271" s="107" t="str">
        <x:v>Hospitality guest-experience applications</x:v>
      </x:c>
      <x:c r="C271" s="107" t="str">
        <x:v>Brand decision</x:v>
      </x:c>
      <x:c r="D271" s="108" t="str">
        <x:v>Include presentation/proposal documents application in V3.0?</x:v>
      </x:c>
      <x:c r="E271" s="108" t="str">
        <x:v>Yes</x:v>
      </x:c>
      <x:c r="F271" s="109" t="str">
        <x:v>Approve recommendation</x:v>
      </x:c>
      <x:c r="G271" s="110"/>
      <x:c r="H271" s="108" t="str">
        <x:f>IF(F271="Approve recommendation",E271,IF(F271="Modify / custom answer",G271,IF(F271="Reject","Rejected",IF(F271="Defer","Deferred",IF(F271="Needs evidence","Pending evidence","")))))</x:f>
        <x:v>Yes</x:v>
      </x:c>
      <x:c r="I271" s="107" t="str">
        <x:f>IF(F271="","Pending",IF(F271="Approve recommendation","Approved",IF(F271="Modify / custom answer",IF(G271="","Action Required","Approved with modification"),IF(F271="Reject","Rejected",IF(F271="Defer","Deferred",IF(F271="Needs evidence","Evidence Required","Pending"))))))</x:f>
        <x:v>Approved</x:v>
      </x:c>
      <x:c r="J271" s="107" t="str">
        <x:v>High</x:v>
      </x:c>
      <x:c r="K271" s="110" t="str">
        <x:v>Brand Owner + Design Custodian</x:v>
      </x:c>
      <x:c r="L271" s="110"/>
      <x:c r="M271" s="108" t="str">
        <x:v>No</x:v>
      </x:c>
      <x:c r="N271" s="108" t="str"/>
      <x:c r="O271" s="108" t="str">
        <x:v>V2 guideline</x:v>
      </x:c>
      <x:c r="P271" s="108" t="str">
        <x:v>SRC-01</x:v>
      </x:c>
      <x:c r="Q271" s="108" t="str"/>
      <x:c r="R271" s="108" t="str">
        <x:v>15 — Guest Experience Applications</x:v>
      </x:c>
      <x:c r="S271" s="110" t="str">
        <x:v>ChatGPT prefill · 06 Oct 2026</x:v>
      </x:c>
    </x:row>
    <x:row r="272" ht="36" customHeight="1">
      <x:c r="A272" s="107" t="str">
        <x:v>R16</x:v>
      </x:c>
      <x:c r="B272" s="107" t="str">
        <x:v>Hospitality guest-experience applications</x:v>
      </x:c>
      <x:c r="C272" s="107" t="str">
        <x:v>Brand decision</x:v>
      </x:c>
      <x:c r="D272" s="108" t="str">
        <x:v>Include uniform/badge application in V3.0?</x:v>
      </x:c>
      <x:c r="E272" s="108" t="str">
        <x:v>If relevant</x:v>
      </x:c>
      <x:c r="F272" s="109" t="str">
        <x:v>Approve recommendation</x:v>
      </x:c>
      <x:c r="G272" s="110"/>
      <x:c r="H272" s="108" t="str">
        <x:f>IF(F272="Approve recommendation",E272,IF(F272="Modify / custom answer",G272,IF(F272="Reject","Rejected",IF(F272="Defer","Deferred",IF(F272="Needs evidence","Pending evidence","")))))</x:f>
        <x:v>If relevant</x:v>
      </x:c>
      <x:c r="I272" s="107" t="str">
        <x:f>IF(F272="","Pending",IF(F272="Approve recommendation","Approved",IF(F272="Modify / custom answer",IF(G272="","Action Required","Approved with modification"),IF(F272="Reject","Rejected",IF(F272="Defer","Deferred",IF(F272="Needs evidence","Evidence Required","Pending"))))))</x:f>
        <x:v>Approved</x:v>
      </x:c>
      <x:c r="J272" s="107" t="str">
        <x:v>High</x:v>
      </x:c>
      <x:c r="K272" s="110" t="str">
        <x:v>Brand Owner + Design Custodian</x:v>
      </x:c>
      <x:c r="L272" s="110"/>
      <x:c r="M272" s="108" t="str">
        <x:v>No</x:v>
      </x:c>
      <x:c r="N272" s="108" t="str"/>
      <x:c r="O272" s="108" t="str">
        <x:v>V2 guideline</x:v>
      </x:c>
      <x:c r="P272" s="108" t="str">
        <x:v>SRC-01</x:v>
      </x:c>
      <x:c r="Q272" s="108" t="str"/>
      <x:c r="R272" s="108" t="str">
        <x:v>15 — Guest Experience Applications</x:v>
      </x:c>
      <x:c r="S272" s="110" t="str">
        <x:v>ChatGPT prefill · 06 Oct 2026</x:v>
      </x:c>
    </x:row>
    <x:row r="273" ht="36" customHeight="1">
      <x:c r="A273" s="107" t="str">
        <x:v>R17</x:v>
      </x:c>
      <x:c r="B273" s="107" t="str">
        <x:v>Hospitality guest-experience applications</x:v>
      </x:c>
      <x:c r="C273" s="107" t="str">
        <x:v>Brand decision</x:v>
      </x:c>
      <x:c r="D273" s="108" t="str">
        <x:v>Include vehicle/livery application in V3.0?</x:v>
      </x:c>
      <x:c r="E273" s="108" t="str">
        <x:v>Only if relevant</x:v>
      </x:c>
      <x:c r="F273" s="109" t="str">
        <x:v>Defer</x:v>
      </x:c>
      <x:c r="G273" s="110"/>
      <x:c r="H273" s="108" t="str">
        <x:f>IF(F273="Approve recommendation",E273,IF(F273="Modify / custom answer",G273,IF(F273="Reject","Rejected",IF(F273="Defer","Deferred",IF(F273="Needs evidence","Pending evidence","")))))</x:f>
        <x:v>Deferred</x:v>
      </x:c>
      <x:c r="I273" s="107" t="str">
        <x:f>IF(F273="","Pending",IF(F273="Approve recommendation","Approved",IF(F273="Modify / custom answer",IF(G273="","Action Required","Approved with modification"),IF(F273="Reject","Rejected",IF(F273="Defer","Deferred",IF(F273="Needs evidence","Evidence Required","Pending"))))))</x:f>
        <x:v>Deferred</x:v>
      </x:c>
      <x:c r="J273" s="107" t="str">
        <x:v>High</x:v>
      </x:c>
      <x:c r="K273" s="110" t="str">
        <x:v>Brand Owner + Design Custodian</x:v>
      </x:c>
      <x:c r="L273" s="110" t="str">
        <x:v>Vehicle/livery is not evidenced as an active GEM touchpoint. Defer production guidance until a real operational need exists.</x:v>
      </x:c>
      <x:c r="M273" s="108" t="str">
        <x:v>No</x:v>
      </x:c>
      <x:c r="N273" s="108" t="str"/>
      <x:c r="O273" s="108" t="str">
        <x:v>V2 guideline</x:v>
      </x:c>
      <x:c r="P273" s="108" t="str">
        <x:v>SRC-01</x:v>
      </x:c>
      <x:c r="Q273" s="108" t="str"/>
      <x:c r="R273" s="108" t="str">
        <x:v>15 — Guest Experience Applications</x:v>
      </x:c>
      <x:c r="S273" s="110" t="str">
        <x:v>ChatGPT prefill · 06 Oct 2026</x:v>
      </x:c>
    </x:row>
    <x:row r="274" ht="36" customHeight="1">
      <x:c r="A274" s="107" t="str">
        <x:v>S01</x:v>
      </x:c>
      <x:c r="B274" s="107" t="str">
        <x:v>Wayfinding and environmental identity</x:v>
      </x:c>
      <x:c r="C274" s="107" t="str">
        <x:v>Brand decision</x:v>
      </x:c>
      <x:c r="D274" s="108" t="str">
        <x:v>Should V3.0 include a production-ready wayfinding / environmental identity system?</x:v>
      </x:c>
      <x:c r="E274" s="108" t="str">
        <x:v>Yes if physical hospitality environments are in scope; otherwise formally defer it. A one-line extension rule is not sufficient for production.</x:v>
      </x:c>
      <x:c r="F274" s="109" t="str">
        <x:v>Modify / custom answer</x:v>
      </x:c>
      <x:c r="G274" s="110" t="str">
        <x:v>Include a V3.0 environmental-identity framework and representative wayfinding examples. Project-specific fabrication/production standards become active only with a live property brief.</x:v>
      </x:c>
      <x:c r="H274" s="108" t="str">
        <x:f>IF(F274="Approve recommendation",E274,IF(F274="Modify / custom answer",G274,IF(F274="Reject","Rejected",IF(F274="Defer","Deferred",IF(F274="Needs evidence","Pending evidence","")))))</x:f>
        <x:v>Include a V3.0 environmental-identity framework and representative wayfinding examples. Project-specific fabrication/production standards become active only with a live property brief.</x:v>
      </x:c>
      <x:c r="I274" s="107" t="str">
        <x:f>IF(F274="","Pending",IF(F274="Approve recommendation","Approved",IF(F274="Modify / custom answer",IF(G274="","Action Required","Approved with modification"),IF(F274="Reject","Rejected",IF(F274="Defer","Deferred",IF(F274="Needs evidence","Evidence Required","Pending"))))))</x:f>
        <x:v>Approved with modification</x:v>
      </x:c>
      <x:c r="J274" s="107" t="str">
        <x:v>Critical</x:v>
      </x:c>
      <x:c r="K274" s="110" t="str">
        <x:v>Design Custodian + Accessibility QA</x:v>
      </x:c>
      <x:c r="L274" s="110" t="str">
        <x:v>The final guideline should demonstrate environmental identity, but site-specific production standards require a live property brief.</x:v>
      </x:c>
      <x:c r="M274" s="108" t="str">
        <x:v>Yes</x:v>
      </x:c>
      <x:c r="N274" s="108" t="str">
        <x:v>Scope is explicitly approved; if in scope, bilingual hierarchy, materials, legibility, tactile/Braille needs and fabrication rules are validated.</x:v>
      </x:c>
      <x:c r="O274" s="108" t="str">
        <x:v>GEM Design System v2.1 review + V2.1 recommendation</x:v>
      </x:c>
      <x:c r="P274" s="108" t="str">
        <x:v>SRC-04</x:v>
      </x:c>
      <x:c r="Q274" s="108" t="str"/>
      <x:c r="R274" s="108" t="str">
        <x:v>16 — Wayfinding &amp; Environmental Identity</x:v>
      </x:c>
      <x:c r="S274" s="110" t="str">
        <x:v>ChatGPT prefill · 06 Oct 2026</x:v>
      </x:c>
    </x:row>
    <x:row r="275" ht="36" customHeight="1">
      <x:c r="A275" s="107" t="str">
        <x:v>S02</x:v>
      </x:c>
      <x:c r="B275" s="107" t="str">
        <x:v>Wayfinding and environmental identity</x:v>
      </x:c>
      <x:c r="C275" s="107" t="str">
        <x:v>Brand decision</x:v>
      </x:c>
      <x:c r="D275" s="108" t="str">
        <x:v>External property signage?</x:v>
      </x:c>
      <x:c r="E275" s="108" t="str">
        <x:v>Yes if GEM operates physical locations</x:v>
      </x:c>
      <x:c r="F275" s="109" t="str">
        <x:v>Defer</x:v>
      </x:c>
      <x:c r="G275" s="110"/>
      <x:c r="H275" s="108" t="str">
        <x:f>IF(F275="Approve recommendation",E275,IF(F275="Modify / custom answer",G275,IF(F275="Reject","Rejected",IF(F275="Defer","Deferred",IF(F275="Needs evidence","Pending evidence","")))))</x:f>
        <x:v>Deferred</x:v>
      </x:c>
      <x:c r="I275" s="107" t="str">
        <x:f>IF(F275="","Pending",IF(F275="Approve recommendation","Approved",IF(F275="Modify / custom answer",IF(G275="","Action Required","Approved with modification"),IF(F275="Reject","Rejected",IF(F275="Defer","Deferred",IF(F275="Needs evidence","Evidence Required","Pending"))))))</x:f>
        <x:v>Deferred</x:v>
      </x:c>
      <x:c r="J275" s="107" t="str">
        <x:v>High</x:v>
      </x:c>
      <x:c r="K275" s="110" t="str">
        <x:v>Design Custodian + Accessibility QA</x:v>
      </x:c>
      <x:c r="L275" s="110" t="str">
        <x:v>Site-specific external property signage standards are deferred until a live property/operator brief exists; V3.0 may show reference principles only.</x:v>
      </x:c>
      <x:c r="M275" s="108" t="str">
        <x:v>Yes</x:v>
      </x:c>
      <x:c r="N275" s="108" t="str"/>
      <x:c r="O275" s="108" t="str">
        <x:v>V2.1 recommendation / best practice</x:v>
      </x:c>
      <x:c r="P275" s="108" t="str"/>
      <x:c r="Q275" s="108" t="str"/>
      <x:c r="R275" s="108" t="str">
        <x:v>16 — Wayfinding &amp; Environmental Identity</x:v>
      </x:c>
      <x:c r="S275" s="110" t="str">
        <x:v>ChatGPT prefill · 06 Oct 2026</x:v>
      </x:c>
    </x:row>
    <x:row r="276" ht="36" customHeight="1">
      <x:c r="A276" s="107" t="str">
        <x:v>S03</x:v>
      </x:c>
      <x:c r="B276" s="107" t="str">
        <x:v>Wayfinding and environmental identity</x:v>
      </x:c>
      <x:c r="C276" s="107" t="str">
        <x:v>Brand decision</x:v>
      </x:c>
      <x:c r="D276" s="108" t="str">
        <x:v>Lobby signage?</x:v>
      </x:c>
      <x:c r="E276" s="108" t="str">
        <x:v>Yes</x:v>
      </x:c>
      <x:c r="F276" s="109" t="str">
        <x:v>Approve recommendation</x:v>
      </x:c>
      <x:c r="G276" s="110"/>
      <x:c r="H276" s="108" t="str">
        <x:f>IF(F276="Approve recommendation",E276,IF(F276="Modify / custom answer",G276,IF(F276="Reject","Rejected",IF(F276="Defer","Deferred",IF(F276="Needs evidence","Pending evidence","")))))</x:f>
        <x:v>Yes</x:v>
      </x:c>
      <x:c r="I276" s="107" t="str">
        <x:f>IF(F276="","Pending",IF(F276="Approve recommendation","Approved",IF(F276="Modify / custom answer",IF(G276="","Action Required","Approved with modification"),IF(F276="Reject","Rejected",IF(F276="Defer","Deferred",IF(F276="Needs evidence","Evidence Required","Pending"))))))</x:f>
        <x:v>Approved</x:v>
      </x:c>
      <x:c r="J276" s="107" t="str">
        <x:v>High</x:v>
      </x:c>
      <x:c r="K276" s="110" t="str">
        <x:v>Design Custodian + Accessibility QA</x:v>
      </x:c>
      <x:c r="L276" s="110"/>
      <x:c r="M276" s="108" t="str">
        <x:v>No</x:v>
      </x:c>
      <x:c r="N276" s="108" t="str"/>
      <x:c r="O276" s="108" t="str">
        <x:v>V2.1 recommendation / best practice</x:v>
      </x:c>
      <x:c r="P276" s="108" t="str"/>
      <x:c r="Q276" s="108" t="str"/>
      <x:c r="R276" s="108" t="str">
        <x:v>16 — Wayfinding &amp; Environmental Identity</x:v>
      </x:c>
      <x:c r="S276" s="110" t="str">
        <x:v>ChatGPT prefill · 06 Oct 2026</x:v>
      </x:c>
    </x:row>
    <x:row r="277" ht="36" customHeight="1">
      <x:c r="A277" s="107" t="str">
        <x:v>S04</x:v>
      </x:c>
      <x:c r="B277" s="107" t="str">
        <x:v>Wayfinding and environmental identity</x:v>
      </x:c>
      <x:c r="C277" s="107" t="str">
        <x:v>Brand decision</x:v>
      </x:c>
      <x:c r="D277" s="108" t="str">
        <x:v>Directional signage?</x:v>
      </x:c>
      <x:c r="E277" s="108" t="str">
        <x:v>Yes</x:v>
      </x:c>
      <x:c r="F277" s="109" t="str">
        <x:v>Approve recommendation</x:v>
      </x:c>
      <x:c r="G277" s="110"/>
      <x:c r="H277" s="108" t="str">
        <x:f>IF(F277="Approve recommendation",E277,IF(F277="Modify / custom answer",G277,IF(F277="Reject","Rejected",IF(F277="Defer","Deferred",IF(F277="Needs evidence","Pending evidence","")))))</x:f>
        <x:v>Yes</x:v>
      </x:c>
      <x:c r="I277" s="107" t="str">
        <x:f>IF(F277="","Pending",IF(F277="Approve recommendation","Approved",IF(F277="Modify / custom answer",IF(G277="","Action Required","Approved with modification"),IF(F277="Reject","Rejected",IF(F277="Defer","Deferred",IF(F277="Needs evidence","Evidence Required","Pending"))))))</x:f>
        <x:v>Approved</x:v>
      </x:c>
      <x:c r="J277" s="107" t="str">
        <x:v>High</x:v>
      </x:c>
      <x:c r="K277" s="110" t="str">
        <x:v>Design Custodian + Accessibility QA</x:v>
      </x:c>
      <x:c r="L277" s="110"/>
      <x:c r="M277" s="108" t="str">
        <x:v>No</x:v>
      </x:c>
      <x:c r="N277" s="108" t="str"/>
      <x:c r="O277" s="108" t="str">
        <x:v>V2.1 recommendation / best practice</x:v>
      </x:c>
      <x:c r="P277" s="108" t="str"/>
      <x:c r="Q277" s="108" t="str"/>
      <x:c r="R277" s="108" t="str">
        <x:v>16 — Wayfinding &amp; Environmental Identity</x:v>
      </x:c>
      <x:c r="S277" s="110" t="str">
        <x:v>ChatGPT prefill · 06 Oct 2026</x:v>
      </x:c>
    </x:row>
    <x:row r="278" ht="36" customHeight="1">
      <x:c r="A278" s="107" t="str">
        <x:v>S05</x:v>
      </x:c>
      <x:c r="B278" s="107" t="str">
        <x:v>Wayfinding and environmental identity</x:v>
      </x:c>
      <x:c r="C278" s="107" t="str">
        <x:v>Brand decision</x:v>
      </x:c>
      <x:c r="D278" s="108" t="str">
        <x:v>Room-number signage?</x:v>
      </x:c>
      <x:c r="E278" s="108" t="str">
        <x:v>Yes</x:v>
      </x:c>
      <x:c r="F278" s="109" t="str">
        <x:v>Approve recommendation</x:v>
      </x:c>
      <x:c r="G278" s="110"/>
      <x:c r="H278" s="108" t="str">
        <x:f>IF(F278="Approve recommendation",E278,IF(F278="Modify / custom answer",G278,IF(F278="Reject","Rejected",IF(F278="Defer","Deferred",IF(F278="Needs evidence","Pending evidence","")))))</x:f>
        <x:v>Yes</x:v>
      </x:c>
      <x:c r="I278" s="107" t="str">
        <x:f>IF(F278="","Pending",IF(F278="Approve recommendation","Approved",IF(F278="Modify / custom answer",IF(G278="","Action Required","Approved with modification"),IF(F278="Reject","Rejected",IF(F278="Defer","Deferred",IF(F278="Needs evidence","Evidence Required","Pending"))))))</x:f>
        <x:v>Approved</x:v>
      </x:c>
      <x:c r="J278" s="107" t="str">
        <x:v>High</x:v>
      </x:c>
      <x:c r="K278" s="110" t="str">
        <x:v>Design Custodian + Accessibility QA</x:v>
      </x:c>
      <x:c r="L278" s="110"/>
      <x:c r="M278" s="108" t="str">
        <x:v>No</x:v>
      </x:c>
      <x:c r="N278" s="108" t="str"/>
      <x:c r="O278" s="108" t="str">
        <x:v>V2.1 recommendation / best practice</x:v>
      </x:c>
      <x:c r="P278" s="108" t="str"/>
      <x:c r="Q278" s="108" t="str"/>
      <x:c r="R278" s="108" t="str">
        <x:v>16 — Wayfinding &amp; Environmental Identity</x:v>
      </x:c>
      <x:c r="S278" s="110" t="str">
        <x:v>ChatGPT prefill · 06 Oct 2026</x:v>
      </x:c>
    </x:row>
    <x:row r="279" ht="36" customHeight="1">
      <x:c r="A279" s="107" t="str">
        <x:v>S06</x:v>
      </x:c>
      <x:c r="B279" s="107" t="str">
        <x:v>Wayfinding and environmental identity</x:v>
      </x:c>
      <x:c r="C279" s="107" t="str">
        <x:v>Brand decision</x:v>
      </x:c>
      <x:c r="D279" s="108" t="str">
        <x:v>Amenity/facility signage?</x:v>
      </x:c>
      <x:c r="E279" s="108" t="str">
        <x:v>Yes</x:v>
      </x:c>
      <x:c r="F279" s="109" t="str">
        <x:v>Approve recommendation</x:v>
      </x:c>
      <x:c r="G279" s="110"/>
      <x:c r="H279" s="108" t="str">
        <x:f>IF(F279="Approve recommendation",E279,IF(F279="Modify / custom answer",G279,IF(F279="Reject","Rejected",IF(F279="Defer","Deferred",IF(F279="Needs evidence","Pending evidence","")))))</x:f>
        <x:v>Yes</x:v>
      </x:c>
      <x:c r="I279" s="107" t="str">
        <x:f>IF(F279="","Pending",IF(F279="Approve recommendation","Approved",IF(F279="Modify / custom answer",IF(G279="","Action Required","Approved with modification"),IF(F279="Reject","Rejected",IF(F279="Defer","Deferred",IF(F279="Needs evidence","Evidence Required","Pending"))))))</x:f>
        <x:v>Approved</x:v>
      </x:c>
      <x:c r="J279" s="107" t="str">
        <x:v>High</x:v>
      </x:c>
      <x:c r="K279" s="110" t="str">
        <x:v>Design Custodian + Accessibility QA</x:v>
      </x:c>
      <x:c r="L279" s="110"/>
      <x:c r="M279" s="108" t="str">
        <x:v>No</x:v>
      </x:c>
      <x:c r="N279" s="108" t="str"/>
      <x:c r="O279" s="108" t="str">
        <x:v>V2.1 recommendation / best practice</x:v>
      </x:c>
      <x:c r="P279" s="108" t="str"/>
      <x:c r="Q279" s="108" t="str"/>
      <x:c r="R279" s="108" t="str">
        <x:v>16 — Wayfinding &amp; Environmental Identity</x:v>
      </x:c>
      <x:c r="S279" s="110" t="str">
        <x:v>ChatGPT prefill · 06 Oct 2026</x:v>
      </x:c>
    </x:row>
    <x:row r="280" ht="36" customHeight="1">
      <x:c r="A280" s="107" t="str">
        <x:v>S07</x:v>
      </x:c>
      <x:c r="B280" s="107" t="str">
        <x:v>Wayfinding and environmental identity</x:v>
      </x:c>
      <x:c r="C280" s="107" t="str">
        <x:v>Brand decision</x:v>
      </x:c>
      <x:c r="D280" s="108" t="str">
        <x:v>Arabic/English hierarchy?</x:v>
      </x:c>
      <x:c r="E280" s="108" t="str">
        <x:v>Define explicitly</x:v>
      </x:c>
      <x:c r="F280" s="109" t="str">
        <x:v>Modify / custom answer</x:v>
      </x:c>
      <x:c r="G280" s="110" t="str">
        <x:v>For Saudi/GCC bilingual wayfinding, use Arabic first/right and English secondary/left by default, with equivalent information and legibility. Adapt only where regulatory or operational context requires.</x:v>
      </x:c>
      <x:c r="H280" s="108" t="str">
        <x:f>IF(F280="Approve recommendation",E280,IF(F280="Modify / custom answer",G280,IF(F280="Reject","Rejected",IF(F280="Defer","Deferred",IF(F280="Needs evidence","Pending evidence","")))))</x:f>
        <x:v>For Saudi/GCC bilingual wayfinding, use Arabic first/right and English secondary/left by default, with equivalent information and legibility. Adapt only where regulatory or operational context requires.</x:v>
      </x:c>
      <x:c r="I280" s="107" t="str">
        <x:f>IF(F280="","Pending",IF(F280="Approve recommendation","Approved",IF(F280="Modify / custom answer",IF(G280="","Action Required","Approved with modification"),IF(F280="Reject","Rejected",IF(F280="Defer","Deferred",IF(F280="Needs evidence","Evidence Required","Pending"))))))</x:f>
        <x:v>Approved with modification</x:v>
      </x:c>
      <x:c r="J280" s="107" t="str">
        <x:v>High</x:v>
      </x:c>
      <x:c r="K280" s="110" t="str">
        <x:v>Design Custodian + Accessibility QA</x:v>
      </x:c>
      <x:c r="L280" s="110" t="str">
        <x:v>Approved as the V3.0 consultant recommendation, grounded in the current GEM source system and best-practice review.</x:v>
      </x:c>
      <x:c r="M280" s="108" t="str">
        <x:v>No</x:v>
      </x:c>
      <x:c r="N280" s="108" t="str"/>
      <x:c r="O280" s="108" t="str">
        <x:v>V2.1 recommendation / best practice</x:v>
      </x:c>
      <x:c r="P280" s="108" t="str"/>
      <x:c r="Q280" s="108" t="str"/>
      <x:c r="R280" s="108" t="str">
        <x:v>16 — Wayfinding &amp; Environmental Identity</x:v>
      </x:c>
      <x:c r="S280" s="110" t="str">
        <x:v>ChatGPT prefill · 06 Oct 2026</x:v>
      </x:c>
    </x:row>
    <x:row r="281" ht="36" customHeight="1">
      <x:c r="A281" s="107" t="str">
        <x:v>S08</x:v>
      </x:c>
      <x:c r="B281" s="107" t="str">
        <x:v>Wayfinding and environmental identity</x:v>
      </x:c>
      <x:c r="C281" s="107" t="str">
        <x:v>Decision + evidence</x:v>
      </x:c>
      <x:c r="D281" s="108" t="str">
        <x:v>Accessibility/tactile signage?</x:v>
      </x:c>
      <x:c r="E281" s="108" t="str">
        <x:v>Yes where required</x:v>
      </x:c>
      <x:c r="F281" s="109" t="str">
        <x:v>Approve recommendation</x:v>
      </x:c>
      <x:c r="G281" s="110"/>
      <x:c r="H281" s="108" t="str">
        <x:f>IF(F281="Approve recommendation",E281,IF(F281="Modify / custom answer",G281,IF(F281="Reject","Rejected",IF(F281="Defer","Deferred",IF(F281="Needs evidence","Pending evidence","")))))</x:f>
        <x:v>Yes where required</x:v>
      </x:c>
      <x:c r="I281" s="107" t="str">
        <x:f>IF(F281="","Pending",IF(F281="Approve recommendation","Approved",IF(F281="Modify / custom answer",IF(G281="","Action Required","Approved with modification"),IF(F281="Reject","Rejected",IF(F281="Defer","Deferred",IF(F281="Needs evidence","Evidence Required","Pending"))))))</x:f>
        <x:v>Approved</x:v>
      </x:c>
      <x:c r="J281" s="107" t="str">
        <x:v>High</x:v>
      </x:c>
      <x:c r="K281" s="110" t="str">
        <x:v>Design Custodian + Accessibility QA</x:v>
      </x:c>
      <x:c r="L281" s="110"/>
      <x:c r="M281" s="108" t="str">
        <x:v>Yes</x:v>
      </x:c>
      <x:c r="N281" s="108" t="str"/>
      <x:c r="O281" s="108" t="str">
        <x:v>V2.1 recommendation / best practice</x:v>
      </x:c>
      <x:c r="P281" s="108" t="str"/>
      <x:c r="Q281" s="108" t="str"/>
      <x:c r="R281" s="108" t="str">
        <x:v>16 — Wayfinding &amp; Environmental Identity</x:v>
      </x:c>
      <x:c r="S281" s="110" t="str">
        <x:v>ChatGPT prefill · 06 Oct 2026</x:v>
      </x:c>
    </x:row>
    <x:row r="282" ht="36" customHeight="1">
      <x:c r="A282" s="107" t="str">
        <x:v>S09</x:v>
      </x:c>
      <x:c r="B282" s="107" t="str">
        <x:v>Wayfinding and environmental identity</x:v>
      </x:c>
      <x:c r="C282" s="107" t="str">
        <x:v>Brand decision</x:v>
      </x:c>
      <x:c r="D282" s="108" t="str">
        <x:v>Braille requirements?</x:v>
      </x:c>
      <x:c r="E282" s="108" t="str">
        <x:v>Define by applicable market/building requirements</x:v>
      </x:c>
      <x:c r="F282" s="109" t="str">
        <x:v>Approve recommendation</x:v>
      </x:c>
      <x:c r="G282" s="110"/>
      <x:c r="H282" s="108" t="str">
        <x:f>IF(F282="Approve recommendation",E282,IF(F282="Modify / custom answer",G282,IF(F282="Reject","Rejected",IF(F282="Defer","Deferred",IF(F282="Needs evidence","Pending evidence","")))))</x:f>
        <x:v>Define by applicable market/building requirements</x:v>
      </x:c>
      <x:c r="I282" s="107" t="str">
        <x:f>IF(F282="","Pending",IF(F282="Approve recommendation","Approved",IF(F282="Modify / custom answer",IF(G282="","Action Required","Approved with modification"),IF(F282="Reject","Rejected",IF(F282="Defer","Deferred",IF(F282="Needs evidence","Evidence Required","Pending"))))))</x:f>
        <x:v>Approved</x:v>
      </x:c>
      <x:c r="J282" s="107" t="str">
        <x:v>High</x:v>
      </x:c>
      <x:c r="K282" s="110" t="str">
        <x:v>Design Custodian + Accessibility QA</x:v>
      </x:c>
      <x:c r="L282" s="110"/>
      <x:c r="M282" s="108" t="str">
        <x:v>No</x:v>
      </x:c>
      <x:c r="N282" s="108" t="str"/>
      <x:c r="O282" s="108" t="str">
        <x:v>V2.1 recommendation / best practice</x:v>
      </x:c>
      <x:c r="P282" s="108" t="str"/>
      <x:c r="Q282" s="108" t="str"/>
      <x:c r="R282" s="108" t="str">
        <x:v>16 — Wayfinding &amp; Environmental Identity</x:v>
      </x:c>
      <x:c r="S282" s="110" t="str">
        <x:v>ChatGPT prefill · 06 Oct 2026</x:v>
      </x:c>
    </x:row>
    <x:row r="283" ht="36" customHeight="1">
      <x:c r="A283" s="107" t="str">
        <x:v>S10</x:v>
      </x:c>
      <x:c r="B283" s="107" t="str">
        <x:v>Wayfinding and environmental identity</x:v>
      </x:c>
      <x:c r="C283" s="107" t="str">
        <x:v>Brand decision</x:v>
      </x:c>
      <x:c r="D283" s="108" t="str">
        <x:v>Material palette for signage?</x:v>
      </x:c>
      <x:c r="E283" s="108" t="str">
        <x:v>Yes</x:v>
      </x:c>
      <x:c r="F283" s="109" t="str">
        <x:v>Approve recommendation</x:v>
      </x:c>
      <x:c r="G283" s="110"/>
      <x:c r="H283" s="108" t="str">
        <x:f>IF(F283="Approve recommendation",E283,IF(F283="Modify / custom answer",G283,IF(F283="Reject","Rejected",IF(F283="Defer","Deferred",IF(F283="Needs evidence","Pending evidence","")))))</x:f>
        <x:v>Yes</x:v>
      </x:c>
      <x:c r="I283" s="107" t="str">
        <x:f>IF(F283="","Pending",IF(F283="Approve recommendation","Approved",IF(F283="Modify / custom answer",IF(G283="","Action Required","Approved with modification"),IF(F283="Reject","Rejected",IF(F283="Defer","Deferred",IF(F283="Needs evidence","Evidence Required","Pending"))))))</x:f>
        <x:v>Approved</x:v>
      </x:c>
      <x:c r="J283" s="107" t="str">
        <x:v>High</x:v>
      </x:c>
      <x:c r="K283" s="110" t="str">
        <x:v>Design Custodian + Accessibility QA</x:v>
      </x:c>
      <x:c r="L283" s="110"/>
      <x:c r="M283" s="108" t="str">
        <x:v>No</x:v>
      </x:c>
      <x:c r="N283" s="108" t="str"/>
      <x:c r="O283" s="108" t="str">
        <x:v>V2.1 recommendation / best practice</x:v>
      </x:c>
      <x:c r="P283" s="108" t="str"/>
      <x:c r="Q283" s="108" t="str"/>
      <x:c r="R283" s="108" t="str">
        <x:v>16 — Wayfinding &amp; Environmental Identity</x:v>
      </x:c>
      <x:c r="S283" s="110" t="str">
        <x:v>ChatGPT prefill · 06 Oct 2026</x:v>
      </x:c>
    </x:row>
    <x:row r="284" ht="36" customHeight="1">
      <x:c r="A284" s="107" t="str">
        <x:v>S11</x:v>
      </x:c>
      <x:c r="B284" s="107" t="str">
        <x:v>Wayfinding and environmental identity</x:v>
      </x:c>
      <x:c r="C284" s="107" t="str">
        <x:v>Brand decision</x:v>
      </x:c>
      <x:c r="D284" s="108" t="str">
        <x:v>Illumination rules?</x:v>
      </x:c>
      <x:c r="E284" s="108" t="str">
        <x:v>Yes</x:v>
      </x:c>
      <x:c r="F284" s="109" t="str">
        <x:v>Approve recommendation</x:v>
      </x:c>
      <x:c r="G284" s="110"/>
      <x:c r="H284" s="108" t="str">
        <x:f>IF(F284="Approve recommendation",E284,IF(F284="Modify / custom answer",G284,IF(F284="Reject","Rejected",IF(F284="Defer","Deferred",IF(F284="Needs evidence","Pending evidence","")))))</x:f>
        <x:v>Yes</x:v>
      </x:c>
      <x:c r="I284" s="107" t="str">
        <x:f>IF(F284="","Pending",IF(F284="Approve recommendation","Approved",IF(F284="Modify / custom answer",IF(G284="","Action Required","Approved with modification"),IF(F284="Reject","Rejected",IF(F284="Defer","Deferred",IF(F284="Needs evidence","Evidence Required","Pending"))))))</x:f>
        <x:v>Approved</x:v>
      </x:c>
      <x:c r="J284" s="107" t="str">
        <x:v>High</x:v>
      </x:c>
      <x:c r="K284" s="110" t="str">
        <x:v>Design Custodian + Accessibility QA</x:v>
      </x:c>
      <x:c r="L284" s="110"/>
      <x:c r="M284" s="108" t="str">
        <x:v>No</x:v>
      </x:c>
      <x:c r="N284" s="108" t="str"/>
      <x:c r="O284" s="108" t="str">
        <x:v>V2.1 recommendation / best practice</x:v>
      </x:c>
      <x:c r="P284" s="108" t="str"/>
      <x:c r="Q284" s="108" t="str"/>
      <x:c r="R284" s="108" t="str">
        <x:v>16 — Wayfinding &amp; Environmental Identity</x:v>
      </x:c>
      <x:c r="S284" s="110" t="str">
        <x:v>ChatGPT prefill · 06 Oct 2026</x:v>
      </x:c>
    </x:row>
    <x:row r="285" ht="36" customHeight="1">
      <x:c r="A285" s="107" t="str">
        <x:v>S12</x:v>
      </x:c>
      <x:c r="B285" s="107" t="str">
        <x:v>Wayfinding and environmental identity</x:v>
      </x:c>
      <x:c r="C285" s="107" t="str">
        <x:v>Decision + evidence</x:v>
      </x:c>
      <x:c r="D285" s="108" t="str">
        <x:v>Fabrication drawings required before production?</x:v>
      </x:c>
      <x:c r="E285" s="108" t="str">
        <x:v>Yes</x:v>
      </x:c>
      <x:c r="F285" s="109" t="str">
        <x:v>Approve recommendation</x:v>
      </x:c>
      <x:c r="G285" s="110"/>
      <x:c r="H285" s="108" t="str">
        <x:f>IF(F285="Approve recommendation",E285,IF(F285="Modify / custom answer",G285,IF(F285="Reject","Rejected",IF(F285="Defer","Deferred",IF(F285="Needs evidence","Pending evidence","")))))</x:f>
        <x:v>Yes</x:v>
      </x:c>
      <x:c r="I285" s="107" t="str">
        <x:f>IF(F285="","Pending",IF(F285="Approve recommendation","Approved",IF(F285="Modify / custom answer",IF(G285="","Action Required","Approved with modification"),IF(F285="Reject","Rejected",IF(F285="Defer","Deferred",IF(F285="Needs evidence","Evidence Required","Pending"))))))</x:f>
        <x:v>Approved</x:v>
      </x:c>
      <x:c r="J285" s="107" t="str">
        <x:v>High</x:v>
      </x:c>
      <x:c r="K285" s="110" t="str">
        <x:v>Design Custodian + Accessibility QA</x:v>
      </x:c>
      <x:c r="L285" s="110"/>
      <x:c r="M285" s="108" t="str">
        <x:v>No</x:v>
      </x:c>
      <x:c r="N285" s="108" t="str"/>
      <x:c r="O285" s="108" t="str">
        <x:v>V2.1 recommendation / best practice</x:v>
      </x:c>
      <x:c r="P285" s="108" t="str"/>
      <x:c r="Q285" s="108" t="str"/>
      <x:c r="R285" s="108" t="str">
        <x:v>16 — Wayfinding &amp; Environmental Identity</x:v>
      </x:c>
      <x:c r="S285" s="110" t="str">
        <x:v>ChatGPT prefill · 06 Oct 2026</x:v>
      </x:c>
    </x:row>
    <x:row r="286" ht="36" customHeight="1">
      <x:c r="A286" s="107" t="str">
        <x:v>S13</x:v>
      </x:c>
      <x:c r="B286" s="107" t="str">
        <x:v>Wayfinding and environmental identity</x:v>
      </x:c>
      <x:c r="C286" s="107" t="str">
        <x:v>Brand decision</x:v>
      </x:c>
      <x:c r="D286" s="108" t="str">
        <x:v>Decorative gold default?</x:v>
      </x:c>
      <x:c r="E286" s="108" t="str">
        <x:v>No</x:v>
      </x:c>
      <x:c r="F286" s="109" t="str">
        <x:v>Approve recommendation</x:v>
      </x:c>
      <x:c r="G286" s="110"/>
      <x:c r="H286" s="108" t="str">
        <x:f>IF(F286="Approve recommendation",E286,IF(F286="Modify / custom answer",G286,IF(F286="Reject","Rejected",IF(F286="Defer","Deferred",IF(F286="Needs evidence","Pending evidence","")))))</x:f>
        <x:v>No</x:v>
      </x:c>
      <x:c r="I286" s="107" t="str">
        <x:f>IF(F286="","Pending",IF(F286="Approve recommendation","Approved",IF(F286="Modify / custom answer",IF(G286="","Action Required","Approved with modification"),IF(F286="Reject","Rejected",IF(F286="Defer","Deferred",IF(F286="Needs evidence","Evidence Required","Pending"))))))</x:f>
        <x:v>Approved</x:v>
      </x:c>
      <x:c r="J286" s="107" t="str">
        <x:v>High</x:v>
      </x:c>
      <x:c r="K286" s="110" t="str">
        <x:v>Design Custodian + Accessibility QA</x:v>
      </x:c>
      <x:c r="L286" s="110"/>
      <x:c r="M286" s="108" t="str">
        <x:v>No</x:v>
      </x:c>
      <x:c r="N286" s="108" t="str"/>
      <x:c r="O286" s="108" t="str">
        <x:v>V2.1 recommendation / best practice</x:v>
      </x:c>
      <x:c r="P286" s="108" t="str"/>
      <x:c r="Q286" s="108" t="str"/>
      <x:c r="R286" s="108" t="str">
        <x:v>16 — Wayfinding &amp; Environmental Identity</x:v>
      </x:c>
      <x:c r="S286" s="110" t="str">
        <x:v>ChatGPT prefill · 06 Oct 2026</x:v>
      </x:c>
    </x:row>
    <x:row r="287" ht="36" customHeight="1">
      <x:c r="A287" s="107" t="str">
        <x:v>S14</x:v>
      </x:c>
      <x:c r="B287" s="107" t="str">
        <x:v>Wayfinding and environmental identity</x:v>
      </x:c>
      <x:c r="C287" s="107" t="str">
        <x:v>Brand decision</x:v>
      </x:c>
      <x:c r="D287" s="108" t="str">
        <x:v>Signage samples physically reviewed before rollout?</x:v>
      </x:c>
      <x:c r="E287" s="108" t="str">
        <x:v>Yes</x:v>
      </x:c>
      <x:c r="F287" s="109" t="str">
        <x:v>Approve recommendation</x:v>
      </x:c>
      <x:c r="G287" s="110"/>
      <x:c r="H287" s="108" t="str">
        <x:f>IF(F287="Approve recommendation",E287,IF(F287="Modify / custom answer",G287,IF(F287="Reject","Rejected",IF(F287="Defer","Deferred",IF(F287="Needs evidence","Pending evidence","")))))</x:f>
        <x:v>Yes</x:v>
      </x:c>
      <x:c r="I287" s="107" t="str">
        <x:f>IF(F287="","Pending",IF(F287="Approve recommendation","Approved",IF(F287="Modify / custom answer",IF(G287="","Action Required","Approved with modification"),IF(F287="Reject","Rejected",IF(F287="Defer","Deferred",IF(F287="Needs evidence","Evidence Required","Pending"))))))</x:f>
        <x:v>Approved</x:v>
      </x:c>
      <x:c r="J287" s="107" t="str">
        <x:v>High</x:v>
      </x:c>
      <x:c r="K287" s="110" t="str">
        <x:v>Design Custodian + Accessibility QA</x:v>
      </x:c>
      <x:c r="L287" s="110"/>
      <x:c r="M287" s="108" t="str">
        <x:v>Yes</x:v>
      </x:c>
      <x:c r="N287" s="108" t="str"/>
      <x:c r="O287" s="108" t="str">
        <x:v>V2.1 recommendation / best practice</x:v>
      </x:c>
      <x:c r="P287" s="108" t="str"/>
      <x:c r="Q287" s="108" t="str"/>
      <x:c r="R287" s="108" t="str">
        <x:v>16 — Wayfinding &amp; Environmental Identity</x:v>
      </x:c>
      <x:c r="S287" s="110" t="str">
        <x:v>ChatGPT prefill · 06 Oct 2026</x:v>
      </x:c>
    </x:row>
    <x:row r="288" ht="36" customHeight="1">
      <x:c r="A288" s="107" t="str">
        <x:v>T01</x:v>
      </x:c>
      <x:c r="B288" s="107" t="str">
        <x:v>Amenities &amp; packaging</x:v>
      </x:c>
      <x:c r="C288" s="107" t="str">
        <x:v>Brand decision</x:v>
      </x:c>
      <x:c r="D288" s="108" t="str">
        <x:v>Is Amenities &amp; Packaging approved as an active V3.0 business stream?</x:v>
      </x:c>
      <x:c r="E288" s="108" t="str">
        <x:v>Approve only after commercial scope is confirmed; until then keep it explicitly proposed, as the current Design System does.</x:v>
      </x:c>
      <x:c r="F288" s="109" t="str">
        <x:v>Modify / custom answer</x:v>
      </x:c>
      <x:c r="G288" s="110" t="str">
        <x:v>Approve Amenities &amp; Packaging as the primary B2B business stream under GEM for V3.0. Public capability claims remain CONDITIONAL until commercial/operational validation is complete.</x:v>
      </x:c>
      <x:c r="H288" s="108" t="str">
        <x:f>IF(F288="Approve recommendation",E288,IF(F288="Modify / custom answer",G288,IF(F288="Reject","Rejected",IF(F288="Defer","Deferred",IF(F288="Needs evidence","Pending evidence","")))))</x:f>
        <x:v>Approve Amenities &amp; Packaging as the primary B2B business stream under GEM for V3.0. Public capability claims remain CONDITIONAL until commercial/operational validation is complete.</x:v>
      </x:c>
      <x:c r="I288" s="107" t="str">
        <x:f>IF(F288="","Pending",IF(F288="Approve recommendation","Approved",IF(F288="Modify / custom answer",IF(G288="","Action Required","Approved with modification"),IF(F288="Reject","Rejected",IF(F288="Defer","Deferred",IF(F288="Needs evidence","Evidence Required","Pending"))))))</x:f>
        <x:v>Approved with modification</x:v>
      </x:c>
      <x:c r="J288" s="107" t="str">
        <x:v>Critical</x:v>
      </x:c>
      <x:c r="K288" s="110" t="str">
        <x:v>Product / Amenities Lead + Procurement / Supplier QA + Brand Owner</x:v>
      </x:c>
      <x:c r="L288" s="110" t="str">
        <x:v>Strategic/production direction approved for the pilot. Market, supplier, formulation and regulatory facts still require the relevant validation evidence before production.</x:v>
      </x:c>
      <x:c r="M288" s="108" t="str">
        <x:v>Yes</x:v>
      </x:c>
      <x:c r="N288" s="108" t="str">
        <x:v>Commercial scope, buyer, offer boundaries and operating capability are signed off.</x:v>
      </x:c>
      <x:c r="O288" s="108" t="str">
        <x:v>GEM Design System v2.1 + V2 audit</x:v>
      </x:c>
      <x:c r="P288" s="108" t="str">
        <x:v>SRC-04, SRC-02</x:v>
      </x:c>
      <x:c r="Q288" s="108" t="str"/>
      <x:c r="R288" s="108" t="str">
        <x:v>17 — Amenities &amp; Packaging</x:v>
      </x:c>
      <x:c r="S288" s="110" t="str">
        <x:v>ChatGPT prefill · 06 Oct 2026</x:v>
      </x:c>
    </x:row>
    <x:row r="289" ht="36" customHeight="1">
      <x:c r="A289" s="107" t="str">
        <x:v>T02</x:v>
      </x:c>
      <x:c r="B289" s="107" t="str">
        <x:v>Amenities &amp; packaging</x:v>
      </x:c>
      <x:c r="C289" s="107" t="str">
        <x:v>Brand decision</x:v>
      </x:c>
      <x:c r="D289" s="108" t="str">
        <x:v>Select first pilot product family</x:v>
      </x:c>
      <x:c r="E289" s="108" t="str">
        <x:v>Bath/body amenity family</x:v>
      </x:c>
      <x:c r="F289" s="109" t="str">
        <x:v>Approve recommendation</x:v>
      </x:c>
      <x:c r="G289" s="110"/>
      <x:c r="H289" s="108" t="str">
        <x:f>IF(F289="Approve recommendation",E289,IF(F289="Modify / custom answer",G289,IF(F289="Reject","Rejected",IF(F289="Defer","Deferred",IF(F289="Needs evidence","Pending evidence","")))))</x:f>
        <x:v>Bath/body amenity family</x:v>
      </x:c>
      <x:c r="I289" s="107" t="str">
        <x:f>IF(F289="","Pending",IF(F289="Approve recommendation","Approved",IF(F289="Modify / custom answer",IF(G289="","Action Required","Approved with modification"),IF(F289="Reject","Rejected",IF(F289="Defer","Deferred",IF(F289="Needs evidence","Evidence Required","Pending"))))))</x:f>
        <x:v>Approved</x:v>
      </x:c>
      <x:c r="J289" s="107" t="str">
        <x:v>Critical</x:v>
      </x:c>
      <x:c r="K289" s="110" t="str">
        <x:v>Product / Amenities Lead + Procurement / Supplier QA + Brand Owner</x:v>
      </x:c>
      <x:c r="L289" s="110"/>
      <x:c r="M289" s="108" t="str">
        <x:v>No</x:v>
      </x:c>
      <x:c r="N289" s="108" t="str"/>
      <x:c r="O289" s="108" t="str">
        <x:v>V2 audit</x:v>
      </x:c>
      <x:c r="P289" s="108" t="str">
        <x:v>SRC-02</x:v>
      </x:c>
      <x:c r="Q289" s="108" t="str"/>
      <x:c r="R289" s="108" t="str">
        <x:v>17 — Amenities &amp; Packaging</x:v>
      </x:c>
      <x:c r="S289" s="110" t="str">
        <x:v>ChatGPT prefill · 06 Oct 2026</x:v>
      </x:c>
    </x:row>
    <x:row r="290" ht="36" customHeight="1">
      <x:c r="A290" s="107" t="str">
        <x:v>T03</x:v>
      </x:c>
      <x:c r="B290" s="107" t="str">
        <x:v>Amenities &amp; packaging</x:v>
      </x:c>
      <x:c r="C290" s="107" t="str">
        <x:v>Decision + evidence</x:v>
      </x:c>
      <x:c r="D290" s="108" t="str">
        <x:v>Define exact pilot SKUs</x:v>
      </x:c>
      <x:c r="E290" s="108" t="str">
        <x:v>Required</x:v>
      </x:c>
      <x:c r="F290" s="109" t="str">
        <x:v>Modify / custom answer</x:v>
      </x:c>
      <x:c r="G290" s="110" t="str">
        <x:v>Pilot SKU set: Shampoo, Conditioner, Body Wash, Body Lotion and Hand Wash. Final pack sizes, formulations and regulatory fields remain supplier/market inputs.</x:v>
      </x:c>
      <x:c r="H290" s="108" t="str">
        <x:f>IF(F290="Approve recommendation",E290,IF(F290="Modify / custom answer",G290,IF(F290="Reject","Rejected",IF(F290="Defer","Deferred",IF(F290="Needs evidence","Pending evidence","")))))</x:f>
        <x:v>Pilot SKU set: Shampoo, Conditioner, Body Wash, Body Lotion and Hand Wash. Final pack sizes, formulations and regulatory fields remain supplier/market inputs.</x:v>
      </x:c>
      <x:c r="I290" s="107" t="str">
        <x:f>IF(F290="","Pending",IF(F290="Approve recommendation","Approved",IF(F290="Modify / custom answer",IF(G290="","Action Required","Approved with modification"),IF(F290="Reject","Rejected",IF(F290="Defer","Deferred",IF(F290="Needs evidence","Evidence Required","Pending"))))))</x:f>
        <x:v>Approved with modification</x:v>
      </x:c>
      <x:c r="J290" s="107" t="str">
        <x:v>Critical</x:v>
      </x:c>
      <x:c r="K290" s="110" t="str">
        <x:v>Product / Amenities Lead + Procurement / Supplier QA + Brand Owner</x:v>
      </x:c>
      <x:c r="L290" s="110" t="str">
        <x:v>Strategic/production direction approved for the pilot. Market, supplier, formulation and regulatory facts still require the relevant validation evidence before production.</x:v>
      </x:c>
      <x:c r="M290" s="108" t="str">
        <x:v>No</x:v>
      </x:c>
      <x:c r="N290" s="108" t="str"/>
      <x:c r="O290" s="108" t="str">
        <x:v>V2 audit</x:v>
      </x:c>
      <x:c r="P290" s="108" t="str">
        <x:v>SRC-02</x:v>
      </x:c>
      <x:c r="Q290" s="108" t="str"/>
      <x:c r="R290" s="108" t="str">
        <x:v>17 — Amenities &amp; Packaging</x:v>
      </x:c>
      <x:c r="S290" s="110" t="str">
        <x:v>ChatGPT prefill · 06 Oct 2026</x:v>
      </x:c>
    </x:row>
    <x:row r="291" ht="36" customHeight="1">
      <x:c r="A291" s="107" t="str">
        <x:v>T04</x:v>
      </x:c>
      <x:c r="B291" s="107" t="str">
        <x:v>Amenities &amp; packaging</x:v>
      </x:c>
      <x:c r="C291" s="107" t="str">
        <x:v>Decision + evidence</x:v>
      </x:c>
      <x:c r="D291" s="108" t="str">
        <x:v>Product naming architecture approved?</x:v>
      </x:c>
      <x:c r="E291" s="108" t="str">
        <x:v>Required</x:v>
      </x:c>
      <x:c r="F291" s="109" t="str">
        <x:v>Modify / custom answer</x:v>
      </x:c>
      <x:c r="G291" s="110" t="str">
        <x:v>Approve functional naming: GEM master brand → collection/tier → product name/function. Property/bespoke naming must not create new sub-brand logos.</x:v>
      </x:c>
      <x:c r="H291" s="108" t="str">
        <x:f>IF(F291="Approve recommendation",E291,IF(F291="Modify / custom answer",G291,IF(F291="Reject","Rejected",IF(F291="Defer","Deferred",IF(F291="Needs evidence","Pending evidence","")))))</x:f>
        <x:v>Approve functional naming: GEM master brand → collection/tier → product name/function. Property/bespoke naming must not create new sub-brand logos.</x:v>
      </x:c>
      <x:c r="I291" s="107" t="str">
        <x:f>IF(F291="","Pending",IF(F291="Approve recommendation","Approved",IF(F291="Modify / custom answer",IF(G291="","Action Required","Approved with modification"),IF(F291="Reject","Rejected",IF(F291="Defer","Deferred",IF(F291="Needs evidence","Evidence Required","Pending"))))))</x:f>
        <x:v>Approved with modification</x:v>
      </x:c>
      <x:c r="J291" s="107" t="str">
        <x:v>Critical</x:v>
      </x:c>
      <x:c r="K291" s="110" t="str">
        <x:v>Product / Amenities Lead + Procurement / Supplier QA + Brand Owner</x:v>
      </x:c>
      <x:c r="L291" s="110" t="str">
        <x:v>Strategic/production direction approved for the pilot. Market, supplier, formulation and regulatory facts still require the relevant validation evidence before production.</x:v>
      </x:c>
      <x:c r="M291" s="108" t="str">
        <x:v>No</x:v>
      </x:c>
      <x:c r="N291" s="108" t="str"/>
      <x:c r="O291" s="108" t="str">
        <x:v>V2 audit</x:v>
      </x:c>
      <x:c r="P291" s="108" t="str">
        <x:v>SRC-02</x:v>
      </x:c>
      <x:c r="Q291" s="108" t="str"/>
      <x:c r="R291" s="108" t="str">
        <x:v>17 — Amenities &amp; Packaging</x:v>
      </x:c>
      <x:c r="S291" s="110" t="str">
        <x:v>ChatGPT prefill · 06 Oct 2026</x:v>
      </x:c>
    </x:row>
    <x:row r="292" ht="36" customHeight="1">
      <x:c r="A292" s="107" t="str">
        <x:v>T05</x:v>
      </x:c>
      <x:c r="B292" s="107" t="str">
        <x:v>Amenities &amp; packaging</x:v>
      </x:c>
      <x:c r="C292" s="107" t="str">
        <x:v>Decision + evidence</x:v>
      </x:c>
      <x:c r="D292" s="108" t="str">
        <x:v>Product hierarchy standardized?</x:v>
      </x:c>
      <x:c r="E292" s="108" t="str">
        <x:v>Required</x:v>
      </x:c>
      <x:c r="F292" s="109" t="str">
        <x:v>Modify / custom answer</x:v>
      </x:c>
      <x:c r="G292" s="110" t="str">
        <x:v>Standard hierarchy: GEM → collection/tier → product/function → quantity/size → instructions/required market information → SKU/artwork version.</x:v>
      </x:c>
      <x:c r="H292" s="108" t="str">
        <x:f>IF(F292="Approve recommendation",E292,IF(F292="Modify / custom answer",G292,IF(F292="Reject","Rejected",IF(F292="Defer","Deferred",IF(F292="Needs evidence","Pending evidence","")))))</x:f>
        <x:v>Standard hierarchy: GEM → collection/tier → product/function → quantity/size → instructions/required market information → SKU/artwork version.</x:v>
      </x:c>
      <x:c r="I292" s="107" t="str">
        <x:f>IF(F292="","Pending",IF(F292="Approve recommendation","Approved",IF(F292="Modify / custom answer",IF(G292="","Action Required","Approved with modification"),IF(F292="Reject","Rejected",IF(F292="Defer","Deferred",IF(F292="Needs evidence","Evidence Required","Pending"))))))</x:f>
        <x:v>Approved with modification</x:v>
      </x:c>
      <x:c r="J292" s="107" t="str">
        <x:v>Critical</x:v>
      </x:c>
      <x:c r="K292" s="110" t="str">
        <x:v>Product / Amenities Lead + Procurement / Supplier QA + Brand Owner</x:v>
      </x:c>
      <x:c r="L292" s="110" t="str">
        <x:v>Strategic/production direction approved for the pilot. Market, supplier, formulation and regulatory facts still require the relevant validation evidence before production.</x:v>
      </x:c>
      <x:c r="M292" s="108" t="str">
        <x:v>No</x:v>
      </x:c>
      <x:c r="N292" s="108" t="str"/>
      <x:c r="O292" s="108" t="str">
        <x:v>V2 audit</x:v>
      </x:c>
      <x:c r="P292" s="108" t="str">
        <x:v>SRC-02</x:v>
      </x:c>
      <x:c r="Q292" s="108" t="str"/>
      <x:c r="R292" s="108" t="str">
        <x:v>17 — Amenities &amp; Packaging</x:v>
      </x:c>
      <x:c r="S292" s="110" t="str">
        <x:v>ChatGPT prefill · 06 Oct 2026</x:v>
      </x:c>
    </x:row>
    <x:row r="293" ht="36" customHeight="1">
      <x:c r="A293" s="107" t="str">
        <x:v>T06</x:v>
      </x:c>
      <x:c r="B293" s="107" t="str">
        <x:v>Amenities &amp; packaging</x:v>
      </x:c>
      <x:c r="C293" s="107" t="str">
        <x:v>Decision + evidence</x:v>
      </x:c>
      <x:c r="D293" s="108" t="str">
        <x:v>Pack size/quantity format standardized?</x:v>
      </x:c>
      <x:c r="E293" s="108" t="str">
        <x:v>Required</x:v>
      </x:c>
      <x:c r="F293" s="109" t="str">
        <x:v>Modify / custom answer</x:v>
      </x:c>
      <x:c r="G293" s="110" t="str">
        <x:v>Metric-first quantity system (mL / g / count). Add secondary units only where required by market/client. Keep syntax consistent across the family.</x:v>
      </x:c>
      <x:c r="H293" s="108" t="str">
        <x:f>IF(F293="Approve recommendation",E293,IF(F293="Modify / custom answer",G293,IF(F293="Reject","Rejected",IF(F293="Defer","Deferred",IF(F293="Needs evidence","Pending evidence","")))))</x:f>
        <x:v>Metric-first quantity system (mL / g / count). Add secondary units only where required by market/client. Keep syntax consistent across the family.</x:v>
      </x:c>
      <x:c r="I293" s="107" t="str">
        <x:f>IF(F293="","Pending",IF(F293="Approve recommendation","Approved",IF(F293="Modify / custom answer",IF(G293="","Action Required","Approved with modification"),IF(F293="Reject","Rejected",IF(F293="Defer","Deferred",IF(F293="Needs evidence","Evidence Required","Pending"))))))</x:f>
        <x:v>Approved with modification</x:v>
      </x:c>
      <x:c r="J293" s="107" t="str">
        <x:v>Critical</x:v>
      </x:c>
      <x:c r="K293" s="110" t="str">
        <x:v>Product / Amenities Lead + Procurement / Supplier QA + Brand Owner</x:v>
      </x:c>
      <x:c r="L293" s="110" t="str">
        <x:v>Strategic/production direction approved for the pilot. Market, supplier, formulation and regulatory facts still require the relevant validation evidence before production.</x:v>
      </x:c>
      <x:c r="M293" s="108" t="str">
        <x:v>No</x:v>
      </x:c>
      <x:c r="N293" s="108" t="str"/>
      <x:c r="O293" s="108" t="str">
        <x:v>V2 audit</x:v>
      </x:c>
      <x:c r="P293" s="108" t="str">
        <x:v>SRC-02</x:v>
      </x:c>
      <x:c r="Q293" s="108" t="str"/>
      <x:c r="R293" s="108" t="str">
        <x:v>17 — Amenities &amp; Packaging</x:v>
      </x:c>
      <x:c r="S293" s="110" t="str">
        <x:v>ChatGPT prefill · 06 Oct 2026</x:v>
      </x:c>
    </x:row>
    <x:row r="294" ht="36" customHeight="1">
      <x:c r="A294" s="107" t="str">
        <x:v>T07</x:v>
      </x:c>
      <x:c r="B294" s="107" t="str">
        <x:v>Amenities &amp; packaging</x:v>
      </x:c>
      <x:c r="C294" s="107" t="str">
        <x:v>Decision + evidence</x:v>
      </x:c>
      <x:c r="D294" s="108" t="str">
        <x:v>Barcode fields required?</x:v>
      </x:c>
      <x:c r="E294" s="108" t="str">
        <x:v>Determine by product/market</x:v>
      </x:c>
      <x:c r="F294" s="109" t="str">
        <x:v>Modify / custom answer</x:v>
      </x:c>
      <x:c r="G294" s="110" t="str">
        <x:v>Use barcode/GTIN fields only where retail, logistics or client systems require them; keep them in a secondary information zone.</x:v>
      </x:c>
      <x:c r="H294" s="108" t="str">
        <x:f>IF(F294="Approve recommendation",E294,IF(F294="Modify / custom answer",G294,IF(F294="Reject","Rejected",IF(F294="Defer","Deferred",IF(F294="Needs evidence","Pending evidence","")))))</x:f>
        <x:v>Use barcode/GTIN fields only where retail, logistics or client systems require them; keep them in a secondary information zone.</x:v>
      </x:c>
      <x:c r="I294" s="107" t="str">
        <x:f>IF(F294="","Pending",IF(F294="Approve recommendation","Approved",IF(F294="Modify / custom answer",IF(G294="","Action Required","Approved with modification"),IF(F294="Reject","Rejected",IF(F294="Defer","Deferred",IF(F294="Needs evidence","Evidence Required","Pending"))))))</x:f>
        <x:v>Approved with modification</x:v>
      </x:c>
      <x:c r="J294" s="107" t="str">
        <x:v>Critical</x:v>
      </x:c>
      <x:c r="K294" s="110" t="str">
        <x:v>Product / Amenities Lead + Procurement / Supplier QA</x:v>
      </x:c>
      <x:c r="L294" s="110" t="str">
        <x:v>Strategic/production direction approved for the pilot. Market, supplier, formulation and regulatory facts still require the relevant validation evidence before production.</x:v>
      </x:c>
      <x:c r="M294" s="108" t="str">
        <x:v>No</x:v>
      </x:c>
      <x:c r="N294" s="108" t="str"/>
      <x:c r="O294" s="108" t="str">
        <x:v>V2 audit</x:v>
      </x:c>
      <x:c r="P294" s="108" t="str">
        <x:v>SRC-02</x:v>
      </x:c>
      <x:c r="Q294" s="108" t="str"/>
      <x:c r="R294" s="108" t="str">
        <x:v>17 — Amenities &amp; Packaging</x:v>
      </x:c>
      <x:c r="S294" s="110" t="str">
        <x:v>ChatGPT prefill · 06 Oct 2026</x:v>
      </x:c>
    </x:row>
    <x:row r="295" ht="36" customHeight="1">
      <x:c r="A295" s="107" t="str">
        <x:v>T08</x:v>
      </x:c>
      <x:c r="B295" s="107" t="str">
        <x:v>Amenities &amp; packaging</x:v>
      </x:c>
      <x:c r="C295" s="107" t="str">
        <x:v>Decision + evidence</x:v>
      </x:c>
      <x:c r="D295" s="108" t="str">
        <x:v>Batch/lot fields required?</x:v>
      </x:c>
      <x:c r="E295" s="108" t="str">
        <x:v>Determine by product/market</x:v>
      </x:c>
      <x:c r="F295" s="109" t="str">
        <x:v>Modify / custom answer</x:v>
      </x:c>
      <x:c r="G295" s="110" t="str">
        <x:v>Yes — reserve controlled batch/lot fields for consumable/personal-care SKUs where traceability is required.</x:v>
      </x:c>
      <x:c r="H295" s="108" t="str">
        <x:f>IF(F295="Approve recommendation",E295,IF(F295="Modify / custom answer",G295,IF(F295="Reject","Rejected",IF(F295="Defer","Deferred",IF(F295="Needs evidence","Pending evidence","")))))</x:f>
        <x:v>Yes — reserve controlled batch/lot fields for consumable/personal-care SKUs where traceability is required.</x:v>
      </x:c>
      <x:c r="I295" s="107" t="str">
        <x:f>IF(F295="","Pending",IF(F295="Approve recommendation","Approved",IF(F295="Modify / custom answer",IF(G295="","Action Required","Approved with modification"),IF(F295="Reject","Rejected",IF(F295="Defer","Deferred",IF(F295="Needs evidence","Evidence Required","Pending"))))))</x:f>
        <x:v>Approved with modification</x:v>
      </x:c>
      <x:c r="J295" s="107" t="str">
        <x:v>Critical</x:v>
      </x:c>
      <x:c r="K295" s="110" t="str">
        <x:v>Product / Amenities Lead + Procurement / Supplier QA</x:v>
      </x:c>
      <x:c r="L295" s="110" t="str">
        <x:v>Strategic/production direction approved for the pilot. Market, supplier, formulation and regulatory facts still require the relevant validation evidence before production.</x:v>
      </x:c>
      <x:c r="M295" s="108" t="str">
        <x:v>No</x:v>
      </x:c>
      <x:c r="N295" s="108" t="str"/>
      <x:c r="O295" s="108" t="str">
        <x:v>V2 audit</x:v>
      </x:c>
      <x:c r="P295" s="108" t="str">
        <x:v>SRC-02</x:v>
      </x:c>
      <x:c r="Q295" s="108" t="str"/>
      <x:c r="R295" s="108" t="str">
        <x:v>17 — Amenities &amp; Packaging</x:v>
      </x:c>
      <x:c r="S295" s="110" t="str">
        <x:v>ChatGPT prefill · 06 Oct 2026</x:v>
      </x:c>
    </x:row>
    <x:row r="296" ht="36" customHeight="1">
      <x:c r="A296" s="107" t="str">
        <x:v>T09</x:v>
      </x:c>
      <x:c r="B296" s="107" t="str">
        <x:v>Amenities &amp; packaging</x:v>
      </x:c>
      <x:c r="C296" s="107" t="str">
        <x:v>Decision + evidence</x:v>
      </x:c>
      <x:c r="D296" s="108" t="str">
        <x:v>Country-of-origin field required?</x:v>
      </x:c>
      <x:c r="E296" s="108" t="str">
        <x:v>Determine by regulation/product</x:v>
      </x:c>
      <x:c r="F296" s="109" t="str">
        <x:v>Modify / custom answer</x:v>
      </x:c>
      <x:c r="G296" s="110" t="str">
        <x:v>Show country of origin where required by destination-market regulation or client specification.</x:v>
      </x:c>
      <x:c r="H296" s="108" t="str">
        <x:f>IF(F296="Approve recommendation",E296,IF(F296="Modify / custom answer",G296,IF(F296="Reject","Rejected",IF(F296="Defer","Deferred",IF(F296="Needs evidence","Pending evidence","")))))</x:f>
        <x:v>Show country of origin where required by destination-market regulation or client specification.</x:v>
      </x:c>
      <x:c r="I296" s="107" t="str">
        <x:f>IF(F296="","Pending",IF(F296="Approve recommendation","Approved",IF(F296="Modify / custom answer",IF(G296="","Action Required","Approved with modification"),IF(F296="Reject","Rejected",IF(F296="Defer","Deferred",IF(F296="Needs evidence","Evidence Required","Pending"))))))</x:f>
        <x:v>Approved with modification</x:v>
      </x:c>
      <x:c r="J296" s="107" t="str">
        <x:v>Critical</x:v>
      </x:c>
      <x:c r="K296" s="110" t="str">
        <x:v>Product / Amenities Lead + Legal / IP Counsel</x:v>
      </x:c>
      <x:c r="L296" s="110" t="str">
        <x:v>Strategic/production direction approved for the pilot. Market, supplier, formulation and regulatory facts still require the relevant validation evidence before production.</x:v>
      </x:c>
      <x:c r="M296" s="108" t="str">
        <x:v>No</x:v>
      </x:c>
      <x:c r="N296" s="108" t="str"/>
      <x:c r="O296" s="108" t="str">
        <x:v>V2 audit</x:v>
      </x:c>
      <x:c r="P296" s="108" t="str">
        <x:v>SRC-02</x:v>
      </x:c>
      <x:c r="Q296" s="108" t="str"/>
      <x:c r="R296" s="108" t="str">
        <x:v>17 — Amenities &amp; Packaging</x:v>
      </x:c>
      <x:c r="S296" s="110" t="str">
        <x:v>ChatGPT prefill · 06 Oct 2026</x:v>
      </x:c>
    </x:row>
    <x:row r="297" ht="36" customHeight="1">
      <x:c r="A297" s="107" t="str">
        <x:v>T10</x:v>
      </x:c>
      <x:c r="B297" s="107" t="str">
        <x:v>Amenities &amp; packaging</x:v>
      </x:c>
      <x:c r="C297" s="107" t="str">
        <x:v>Decision + evidence</x:v>
      </x:c>
      <x:c r="D297" s="108" t="str">
        <x:v>Ingredient/formulation information required?</x:v>
      </x:c>
      <x:c r="E297" s="108" t="str">
        <x:v>Determine by product</x:v>
      </x:c>
      <x:c r="F297" s="109" t="str">
        <x:v>Modify / custom answer</x:v>
      </x:c>
      <x:c r="G297" s="110" t="str">
        <x:v>Yes for regulated personal-care products. Ingredients/formulation copy must come only from verified product data.</x:v>
      </x:c>
      <x:c r="H297" s="108" t="str">
        <x:f>IF(F297="Approve recommendation",E297,IF(F297="Modify / custom answer",G297,IF(F297="Reject","Rejected",IF(F297="Defer","Deferred",IF(F297="Needs evidence","Pending evidence","")))))</x:f>
        <x:v>Yes for regulated personal-care products. Ingredients/formulation copy must come only from verified product data.</x:v>
      </x:c>
      <x:c r="I297" s="107" t="str">
        <x:f>IF(F297="","Pending",IF(F297="Approve recommendation","Approved",IF(F297="Modify / custom answer",IF(G297="","Action Required","Approved with modification"),IF(F297="Reject","Rejected",IF(F297="Defer","Deferred",IF(F297="Needs evidence","Evidence Required","Pending"))))))</x:f>
        <x:v>Approved with modification</x:v>
      </x:c>
      <x:c r="J297" s="107" t="str">
        <x:v>Critical</x:v>
      </x:c>
      <x:c r="K297" s="110" t="str">
        <x:v>Product / Amenities Lead + Legal / IP Counsel</x:v>
      </x:c>
      <x:c r="L297" s="110" t="str">
        <x:v>Strategic/production direction approved for the pilot. Market, supplier, formulation and regulatory facts still require the relevant validation evidence before production.</x:v>
      </x:c>
      <x:c r="M297" s="108" t="str">
        <x:v>No</x:v>
      </x:c>
      <x:c r="N297" s="108" t="str"/>
      <x:c r="O297" s="108" t="str">
        <x:v>V2 audit</x:v>
      </x:c>
      <x:c r="P297" s="108" t="str">
        <x:v>SRC-02</x:v>
      </x:c>
      <x:c r="Q297" s="108" t="str"/>
      <x:c r="R297" s="108" t="str">
        <x:v>17 — Amenities &amp; Packaging</x:v>
      </x:c>
      <x:c r="S297" s="110" t="str">
        <x:v>ChatGPT prefill · 06 Oct 2026</x:v>
      </x:c>
    </x:row>
    <x:row r="298" ht="36" customHeight="1">
      <x:c r="A298" s="107" t="str">
        <x:v>T11</x:v>
      </x:c>
      <x:c r="B298" s="107" t="str">
        <x:v>Amenities &amp; packaging</x:v>
      </x:c>
      <x:c r="C298" s="107" t="str">
        <x:v>Brand decision</x:v>
      </x:c>
      <x:c r="D298" s="108" t="str">
        <x:v>Arabic mandatory on packaging?</x:v>
      </x:c>
      <x:c r="E298" s="108" t="str">
        <x:v>Determine by market/regulation</x:v>
      </x:c>
      <x:c r="F298" s="109" t="str">
        <x:v>Modify / custom answer</x:v>
      </x:c>
      <x:c r="G298" s="110" t="str">
        <x:v>For Saudi-market packaging, plan Arabic as mandatory unless qualified regulatory review confirms an exception; validate per SKU and destination market.</x:v>
      </x:c>
      <x:c r="H298" s="108" t="str">
        <x:f>IF(F298="Approve recommendation",E298,IF(F298="Modify / custom answer",G298,IF(F298="Reject","Rejected",IF(F298="Defer","Deferred",IF(F298="Needs evidence","Pending evidence","")))))</x:f>
        <x:v>For Saudi-market packaging, plan Arabic as mandatory unless qualified regulatory review confirms an exception; validate per SKU and destination market.</x:v>
      </x:c>
      <x:c r="I298" s="107" t="str">
        <x:f>IF(F298="","Pending",IF(F298="Approve recommendation","Approved",IF(F298="Modify / custom answer",IF(G298="","Action Required","Approved with modification"),IF(F298="Reject","Rejected",IF(F298="Defer","Deferred",IF(F298="Needs evidence","Evidence Required","Pending"))))))</x:f>
        <x:v>Approved with modification</x:v>
      </x:c>
      <x:c r="J298" s="107" t="str">
        <x:v>Critical</x:v>
      </x:c>
      <x:c r="K298" s="110" t="str">
        <x:v>Arabic / Localization Lead + Product / Amenities Lead + Legal / IP Counsel</x:v>
      </x:c>
      <x:c r="L298" s="110" t="str">
        <x:v>Strategic/production direction approved for the pilot. Market, supplier, formulation and regulatory facts still require the relevant validation evidence before production.</x:v>
      </x:c>
      <x:c r="M298" s="108" t="str">
        <x:v>No</x:v>
      </x:c>
      <x:c r="N298" s="108" t="str"/>
      <x:c r="O298" s="108" t="str">
        <x:v>V2 audit</x:v>
      </x:c>
      <x:c r="P298" s="108" t="str">
        <x:v>SRC-02</x:v>
      </x:c>
      <x:c r="Q298" s="108" t="str"/>
      <x:c r="R298" s="108" t="str">
        <x:v>17 — Amenities &amp; Packaging</x:v>
      </x:c>
      <x:c r="S298" s="110" t="str">
        <x:v>ChatGPT prefill · 06 Oct 2026</x:v>
      </x:c>
    </x:row>
    <x:row r="299" ht="36" customHeight="1">
      <x:c r="A299" s="107" t="str">
        <x:v>T12</x:v>
      </x:c>
      <x:c r="B299" s="107" t="str">
        <x:v>Amenities &amp; packaging</x:v>
      </x:c>
      <x:c r="C299" s="107" t="str">
        <x:v>Decision + evidence</x:v>
      </x:c>
      <x:c r="D299" s="108" t="str">
        <x:v>Supplier dieline required for each SKU?</x:v>
      </x:c>
      <x:c r="E299" s="108" t="str">
        <x:v>Yes</x:v>
      </x:c>
      <x:c r="F299" s="109" t="str">
        <x:v>Approve recommendation</x:v>
      </x:c>
      <x:c r="G299" s="110"/>
      <x:c r="H299" s="108" t="str">
        <x:f>IF(F299="Approve recommendation",E299,IF(F299="Modify / custom answer",G299,IF(F299="Reject","Rejected",IF(F299="Defer","Deferred",IF(F299="Needs evidence","Pending evidence","")))))</x:f>
        <x:v>Yes</x:v>
      </x:c>
      <x:c r="I299" s="107" t="str">
        <x:f>IF(F299="","Pending",IF(F299="Approve recommendation","Approved",IF(F299="Modify / custom answer",IF(G299="","Action Required","Approved with modification"),IF(F299="Reject","Rejected",IF(F299="Defer","Deferred",IF(F299="Needs evidence","Evidence Required","Pending"))))))</x:f>
        <x:v>Approved</x:v>
      </x:c>
      <x:c r="J299" s="107" t="str">
        <x:v>Critical</x:v>
      </x:c>
      <x:c r="K299" s="110" t="str">
        <x:v>Product / Amenities Lead + Procurement / Supplier QA + Brand Owner</x:v>
      </x:c>
      <x:c r="L299" s="110"/>
      <x:c r="M299" s="108" t="str">
        <x:v>Yes</x:v>
      </x:c>
      <x:c r="N299" s="108" t="str"/>
      <x:c r="O299" s="108" t="str">
        <x:v>V2 audit</x:v>
      </x:c>
      <x:c r="P299" s="108" t="str">
        <x:v>SRC-02</x:v>
      </x:c>
      <x:c r="Q299" s="108" t="str"/>
      <x:c r="R299" s="108" t="str">
        <x:v>17 — Amenities &amp; Packaging</x:v>
      </x:c>
      <x:c r="S299" s="110" t="str">
        <x:v>ChatGPT prefill · 06 Oct 2026</x:v>
      </x:c>
    </x:row>
    <x:row r="300" ht="36" customHeight="1">
      <x:c r="A300" s="107" t="str">
        <x:v>T13</x:v>
      </x:c>
      <x:c r="B300" s="107" t="str">
        <x:v>Amenities &amp; packaging</x:v>
      </x:c>
      <x:c r="C300" s="107" t="str">
        <x:v>Brand decision</x:v>
      </x:c>
      <x:c r="D300" s="108" t="str">
        <x:v>Safe zones/bleeds standardized?</x:v>
      </x:c>
      <x:c r="E300" s="108" t="str">
        <x:v>Yes</x:v>
      </x:c>
      <x:c r="F300" s="109" t="str">
        <x:v>Approve recommendation</x:v>
      </x:c>
      <x:c r="G300" s="110"/>
      <x:c r="H300" s="108" t="str">
        <x:f>IF(F300="Approve recommendation",E300,IF(F300="Modify / custom answer",G300,IF(F300="Reject","Rejected",IF(F300="Defer","Deferred",IF(F300="Needs evidence","Pending evidence","")))))</x:f>
        <x:v>Yes</x:v>
      </x:c>
      <x:c r="I300" s="107" t="str">
        <x:f>IF(F300="","Pending",IF(F300="Approve recommendation","Approved",IF(F300="Modify / custom answer",IF(G300="","Action Required","Approved with modification"),IF(F300="Reject","Rejected",IF(F300="Defer","Deferred",IF(F300="Needs evidence","Evidence Required","Pending"))))))</x:f>
        <x:v>Approved</x:v>
      </x:c>
      <x:c r="J300" s="107" t="str">
        <x:v>Critical</x:v>
      </x:c>
      <x:c r="K300" s="110" t="str">
        <x:v>Product / Amenities Lead + Procurement / Supplier QA + Brand Owner</x:v>
      </x:c>
      <x:c r="L300" s="110"/>
      <x:c r="M300" s="108" t="str">
        <x:v>No</x:v>
      </x:c>
      <x:c r="N300" s="108" t="str"/>
      <x:c r="O300" s="108" t="str">
        <x:v>V2 audit</x:v>
      </x:c>
      <x:c r="P300" s="108" t="str">
        <x:v>SRC-02</x:v>
      </x:c>
      <x:c r="Q300" s="108" t="str"/>
      <x:c r="R300" s="108" t="str">
        <x:v>17 — Amenities &amp; Packaging</x:v>
      </x:c>
      <x:c r="S300" s="110" t="str">
        <x:v>ChatGPT prefill · 06 Oct 2026</x:v>
      </x:c>
    </x:row>
    <x:row r="301" ht="36" customHeight="1">
      <x:c r="A301" s="107" t="str">
        <x:v>T14</x:v>
      </x:c>
      <x:c r="B301" s="107" t="str">
        <x:v>Amenities &amp; packaging</x:v>
      </x:c>
      <x:c r="C301" s="107" t="str">
        <x:v>Decision + evidence</x:v>
      </x:c>
      <x:c r="D301" s="108" t="str">
        <x:v>Material specifications required?</x:v>
      </x:c>
      <x:c r="E301" s="108" t="str">
        <x:v>Yes</x:v>
      </x:c>
      <x:c r="F301" s="109" t="str">
        <x:v>Approve recommendation</x:v>
      </x:c>
      <x:c r="G301" s="110"/>
      <x:c r="H301" s="108" t="str">
        <x:f>IF(F301="Approve recommendation",E301,IF(F301="Modify / custom answer",G301,IF(F301="Reject","Rejected",IF(F301="Defer","Deferred",IF(F301="Needs evidence","Pending evidence","")))))</x:f>
        <x:v>Yes</x:v>
      </x:c>
      <x:c r="I301" s="107" t="str">
        <x:f>IF(F301="","Pending",IF(F301="Approve recommendation","Approved",IF(F301="Modify / custom answer",IF(G301="","Action Required","Approved with modification"),IF(F301="Reject","Rejected",IF(F301="Defer","Deferred",IF(F301="Needs evidence","Evidence Required","Pending"))))))</x:f>
        <x:v>Approved</x:v>
      </x:c>
      <x:c r="J301" s="107" t="str">
        <x:v>Critical</x:v>
      </x:c>
      <x:c r="K301" s="110" t="str">
        <x:v>Product / Amenities Lead + Procurement / Supplier QA + Brand Owner</x:v>
      </x:c>
      <x:c r="L301" s="110"/>
      <x:c r="M301" s="108" t="str">
        <x:v>No</x:v>
      </x:c>
      <x:c r="N301" s="108" t="str"/>
      <x:c r="O301" s="108" t="str">
        <x:v>V2 audit</x:v>
      </x:c>
      <x:c r="P301" s="108" t="str">
        <x:v>SRC-02</x:v>
      </x:c>
      <x:c r="Q301" s="108" t="str"/>
      <x:c r="R301" s="108" t="str">
        <x:v>17 — Amenities &amp; Packaging</x:v>
      </x:c>
      <x:c r="S301" s="110" t="str">
        <x:v>ChatGPT prefill · 06 Oct 2026</x:v>
      </x:c>
    </x:row>
    <x:row r="302" ht="36" customHeight="1">
      <x:c r="A302" s="107" t="str">
        <x:v>T15</x:v>
      </x:c>
      <x:c r="B302" s="107" t="str">
        <x:v>Amenities &amp; packaging</x:v>
      </x:c>
      <x:c r="C302" s="107" t="str">
        <x:v>Decision + evidence</x:v>
      </x:c>
      <x:c r="D302" s="108" t="str">
        <x:v>Finish specifications required?</x:v>
      </x:c>
      <x:c r="E302" s="108" t="str">
        <x:v>Yes</x:v>
      </x:c>
      <x:c r="F302" s="109" t="str">
        <x:v>Approve recommendation</x:v>
      </x:c>
      <x:c r="G302" s="110"/>
      <x:c r="H302" s="108" t="str">
        <x:f>IF(F302="Approve recommendation",E302,IF(F302="Modify / custom answer",G302,IF(F302="Reject","Rejected",IF(F302="Defer","Deferred",IF(F302="Needs evidence","Pending evidence","")))))</x:f>
        <x:v>Yes</x:v>
      </x:c>
      <x:c r="I302" s="107" t="str">
        <x:f>IF(F302="","Pending",IF(F302="Approve recommendation","Approved",IF(F302="Modify / custom answer",IF(G302="","Action Required","Approved with modification"),IF(F302="Reject","Rejected",IF(F302="Defer","Deferred",IF(F302="Needs evidence","Evidence Required","Pending"))))))</x:f>
        <x:v>Approved</x:v>
      </x:c>
      <x:c r="J302" s="107" t="str">
        <x:v>Critical</x:v>
      </x:c>
      <x:c r="K302" s="110" t="str">
        <x:v>Product / Amenities Lead + Procurement / Supplier QA + Brand Owner</x:v>
      </x:c>
      <x:c r="L302" s="110"/>
      <x:c r="M302" s="108" t="str">
        <x:v>No</x:v>
      </x:c>
      <x:c r="N302" s="108" t="str"/>
      <x:c r="O302" s="108" t="str">
        <x:v>V2 audit</x:v>
      </x:c>
      <x:c r="P302" s="108" t="str">
        <x:v>SRC-02</x:v>
      </x:c>
      <x:c r="Q302" s="108" t="str"/>
      <x:c r="R302" s="108" t="str">
        <x:v>17 — Amenities &amp; Packaging</x:v>
      </x:c>
      <x:c r="S302" s="110" t="str">
        <x:v>ChatGPT prefill · 06 Oct 2026</x:v>
      </x:c>
    </x:row>
    <x:row r="303" ht="36" customHeight="1">
      <x:c r="A303" s="107" t="str">
        <x:v>T16</x:v>
      </x:c>
      <x:c r="B303" s="107" t="str">
        <x:v>Amenities &amp; packaging</x:v>
      </x:c>
      <x:c r="C303" s="107" t="str">
        <x:v>Brand decision</x:v>
      </x:c>
      <x:c r="D303" s="108" t="str">
        <x:v>Print process specified?</x:v>
      </x:c>
      <x:c r="E303" s="108" t="str">
        <x:v>Yes</x:v>
      </x:c>
      <x:c r="F303" s="109" t="str">
        <x:v>Approve recommendation</x:v>
      </x:c>
      <x:c r="G303" s="110"/>
      <x:c r="H303" s="108" t="str">
        <x:f>IF(F303="Approve recommendation",E303,IF(F303="Modify / custom answer",G303,IF(F303="Reject","Rejected",IF(F303="Defer","Deferred",IF(F303="Needs evidence","Pending evidence","")))))</x:f>
        <x:v>Yes</x:v>
      </x:c>
      <x:c r="I303" s="107" t="str">
        <x:f>IF(F303="","Pending",IF(F303="Approve recommendation","Approved",IF(F303="Modify / custom answer",IF(G303="","Action Required","Approved with modification"),IF(F303="Reject","Rejected",IF(F303="Defer","Deferred",IF(F303="Needs evidence","Evidence Required","Pending"))))))</x:f>
        <x:v>Approved</x:v>
      </x:c>
      <x:c r="J303" s="107" t="str">
        <x:v>Critical</x:v>
      </x:c>
      <x:c r="K303" s="110" t="str">
        <x:v>Product / Amenities Lead + Procurement / Supplier QA + Brand Owner</x:v>
      </x:c>
      <x:c r="L303" s="110"/>
      <x:c r="M303" s="108" t="str">
        <x:v>No</x:v>
      </x:c>
      <x:c r="N303" s="108" t="str"/>
      <x:c r="O303" s="108" t="str">
        <x:v>V2 audit</x:v>
      </x:c>
      <x:c r="P303" s="108" t="str">
        <x:v>SRC-02</x:v>
      </x:c>
      <x:c r="Q303" s="108" t="str"/>
      <x:c r="R303" s="108" t="str">
        <x:v>17 — Amenities &amp; Packaging</x:v>
      </x:c>
      <x:c r="S303" s="110" t="str">
        <x:v>ChatGPT prefill · 06 Oct 2026</x:v>
      </x:c>
    </x:row>
    <x:row r="304" ht="36" customHeight="1">
      <x:c r="A304" s="107" t="str">
        <x:v>T17</x:v>
      </x:c>
      <x:c r="B304" s="107" t="str">
        <x:v>Amenities &amp; packaging</x:v>
      </x:c>
      <x:c r="C304" s="107" t="str">
        <x:v>Decision + evidence</x:v>
      </x:c>
      <x:c r="D304" s="108" t="str">
        <x:v>Physical proof required?</x:v>
      </x:c>
      <x:c r="E304" s="108" t="str">
        <x:v>Yes</x:v>
      </x:c>
      <x:c r="F304" s="109" t="str">
        <x:v>Approve recommendation</x:v>
      </x:c>
      <x:c r="G304" s="110"/>
      <x:c r="H304" s="108" t="str">
        <x:f>IF(F304="Approve recommendation",E304,IF(F304="Modify / custom answer",G304,IF(F304="Reject","Rejected",IF(F304="Defer","Deferred",IF(F304="Needs evidence","Pending evidence","")))))</x:f>
        <x:v>Yes</x:v>
      </x:c>
      <x:c r="I304" s="107" t="str">
        <x:f>IF(F304="","Pending",IF(F304="Approve recommendation","Approved",IF(F304="Modify / custom answer",IF(G304="","Action Required","Approved with modification"),IF(F304="Reject","Rejected",IF(F304="Defer","Deferred",IF(F304="Needs evidence","Evidence Required","Pending"))))))</x:f>
        <x:v>Approved</x:v>
      </x:c>
      <x:c r="J304" s="107" t="str">
        <x:v>Critical</x:v>
      </x:c>
      <x:c r="K304" s="110" t="str">
        <x:v>Product / Amenities Lead + Procurement / Supplier QA + Brand Owner</x:v>
      </x:c>
      <x:c r="L304" s="110"/>
      <x:c r="M304" s="108" t="str">
        <x:v>Yes</x:v>
      </x:c>
      <x:c r="N304" s="108" t="str"/>
      <x:c r="O304" s="108" t="str">
        <x:v>V2 audit</x:v>
      </x:c>
      <x:c r="P304" s="108" t="str">
        <x:v>SRC-02</x:v>
      </x:c>
      <x:c r="Q304" s="108" t="str"/>
      <x:c r="R304" s="108" t="str">
        <x:v>17 — Amenities &amp; Packaging</x:v>
      </x:c>
      <x:c r="S304" s="110" t="str">
        <x:v>ChatGPT prefill · 06 Oct 2026</x:v>
      </x:c>
    </x:row>
    <x:row r="305" ht="36" customHeight="1">
      <x:c r="A305" s="107" t="str">
        <x:v>T18</x:v>
      </x:c>
      <x:c r="B305" s="107" t="str">
        <x:v>Amenities &amp; packaging</x:v>
      </x:c>
      <x:c r="C305" s="107" t="str">
        <x:v>Brand decision</x:v>
      </x:c>
      <x:c r="D305" s="108" t="str">
        <x:v>Approved production reference sample archived?</x:v>
      </x:c>
      <x:c r="E305" s="108" t="str">
        <x:v>Yes</x:v>
      </x:c>
      <x:c r="F305" s="109" t="str">
        <x:v>Approve recommendation</x:v>
      </x:c>
      <x:c r="G305" s="110"/>
      <x:c r="H305" s="108" t="str">
        <x:f>IF(F305="Approve recommendation",E305,IF(F305="Modify / custom answer",G305,IF(F305="Reject","Rejected",IF(F305="Defer","Deferred",IF(F305="Needs evidence","Pending evidence","")))))</x:f>
        <x:v>Yes</x:v>
      </x:c>
      <x:c r="I305" s="107" t="str">
        <x:f>IF(F305="","Pending",IF(F305="Approve recommendation","Approved",IF(F305="Modify / custom answer",IF(G305="","Action Required","Approved with modification"),IF(F305="Reject","Rejected",IF(F305="Defer","Deferred",IF(F305="Needs evidence","Evidence Required","Pending"))))))</x:f>
        <x:v>Approved</x:v>
      </x:c>
      <x:c r="J305" s="107" t="str">
        <x:v>Critical</x:v>
      </x:c>
      <x:c r="K305" s="110" t="str">
        <x:v>Product / Amenities Lead + Procurement / Supplier QA + Brand Owner</x:v>
      </x:c>
      <x:c r="L305" s="110"/>
      <x:c r="M305" s="108" t="str">
        <x:v>No</x:v>
      </x:c>
      <x:c r="N305" s="108" t="str"/>
      <x:c r="O305" s="108" t="str">
        <x:v>V2 audit</x:v>
      </x:c>
      <x:c r="P305" s="108" t="str">
        <x:v>SRC-02</x:v>
      </x:c>
      <x:c r="Q305" s="108" t="str"/>
      <x:c r="R305" s="108" t="str">
        <x:v>17 — Amenities &amp; Packaging</x:v>
      </x:c>
      <x:c r="S305" s="110" t="str">
        <x:v>ChatGPT prefill · 06 Oct 2026</x:v>
      </x:c>
    </x:row>
    <x:row r="306" ht="36" customHeight="1">
      <x:c r="A306" s="107" t="str">
        <x:v>T19</x:v>
      </x:c>
      <x:c r="B306" s="107" t="str">
        <x:v>Amenities &amp; packaging</x:v>
      </x:c>
      <x:c r="C306" s="107" t="str">
        <x:v>Brand decision</x:v>
      </x:c>
      <x:c r="D306" s="108" t="str">
        <x:v>Color tolerances specified?</x:v>
      </x:c>
      <x:c r="E306" s="108" t="str">
        <x:v>Yes</x:v>
      </x:c>
      <x:c r="F306" s="109" t="str">
        <x:v>Approve recommendation</x:v>
      </x:c>
      <x:c r="G306" s="110"/>
      <x:c r="H306" s="108" t="str">
        <x:f>IF(F306="Approve recommendation",E306,IF(F306="Modify / custom answer",G306,IF(F306="Reject","Rejected",IF(F306="Defer","Deferred",IF(F306="Needs evidence","Pending evidence","")))))</x:f>
        <x:v>Yes</x:v>
      </x:c>
      <x:c r="I306" s="107" t="str">
        <x:f>IF(F306="","Pending",IF(F306="Approve recommendation","Approved",IF(F306="Modify / custom answer",IF(G306="","Action Required","Approved with modification"),IF(F306="Reject","Rejected",IF(F306="Defer","Deferred",IF(F306="Needs evidence","Evidence Required","Pending"))))))</x:f>
        <x:v>Approved</x:v>
      </x:c>
      <x:c r="J306" s="107" t="str">
        <x:v>Critical</x:v>
      </x:c>
      <x:c r="K306" s="110" t="str">
        <x:v>Product / Amenities Lead + Procurement / Supplier QA + Brand Owner</x:v>
      </x:c>
      <x:c r="L306" s="110"/>
      <x:c r="M306" s="108" t="str">
        <x:v>No</x:v>
      </x:c>
      <x:c r="N306" s="108" t="str"/>
      <x:c r="O306" s="108" t="str">
        <x:v>V2 audit</x:v>
      </x:c>
      <x:c r="P306" s="108" t="str">
        <x:v>SRC-02</x:v>
      </x:c>
      <x:c r="Q306" s="108" t="str"/>
      <x:c r="R306" s="108" t="str">
        <x:v>17 — Amenities &amp; Packaging</x:v>
      </x:c>
      <x:c r="S306" s="110" t="str">
        <x:v>ChatGPT prefill · 06 Oct 2026</x:v>
      </x:c>
    </x:row>
    <x:row r="307" ht="36" customHeight="1">
      <x:c r="A307" s="107" t="str">
        <x:v>T20</x:v>
      </x:c>
      <x:c r="B307" s="107" t="str">
        <x:v>Amenities &amp; packaging</x:v>
      </x:c>
      <x:c r="C307" s="107" t="str">
        <x:v>Decision + evidence</x:v>
      </x:c>
      <x:c r="D307" s="108" t="str">
        <x:v>Supplier acceptance/signature required?</x:v>
      </x:c>
      <x:c r="E307" s="108" t="str">
        <x:v>Yes</x:v>
      </x:c>
      <x:c r="F307" s="109" t="str">
        <x:v>Approve recommendation</x:v>
      </x:c>
      <x:c r="G307" s="110"/>
      <x:c r="H307" s="108" t="str">
        <x:f>IF(F307="Approve recommendation",E307,IF(F307="Modify / custom answer",G307,IF(F307="Reject","Rejected",IF(F307="Defer","Deferred",IF(F307="Needs evidence","Pending evidence","")))))</x:f>
        <x:v>Yes</x:v>
      </x:c>
      <x:c r="I307" s="107" t="str">
        <x:f>IF(F307="","Pending",IF(F307="Approve recommendation","Approved",IF(F307="Modify / custom answer",IF(G307="","Action Required","Approved with modification"),IF(F307="Reject","Rejected",IF(F307="Defer","Deferred",IF(F307="Needs evidence","Evidence Required","Pending"))))))</x:f>
        <x:v>Approved</x:v>
      </x:c>
      <x:c r="J307" s="107" t="str">
        <x:v>Critical</x:v>
      </x:c>
      <x:c r="K307" s="110" t="str">
        <x:v>Product / Amenities Lead + Procurement / Supplier QA + Brand Owner</x:v>
      </x:c>
      <x:c r="L307" s="110"/>
      <x:c r="M307" s="108" t="str">
        <x:v>Yes</x:v>
      </x:c>
      <x:c r="N307" s="108" t="str"/>
      <x:c r="O307" s="108" t="str">
        <x:v>V2 audit</x:v>
      </x:c>
      <x:c r="P307" s="108" t="str">
        <x:v>SRC-02</x:v>
      </x:c>
      <x:c r="Q307" s="108" t="str"/>
      <x:c r="R307" s="108" t="str">
        <x:v>17 — Amenities &amp; Packaging</x:v>
      </x:c>
      <x:c r="S307" s="110" t="str">
        <x:v>ChatGPT prefill · 06 Oct 2026</x:v>
      </x:c>
    </x:row>
    <x:row r="308" ht="36" customHeight="1">
      <x:c r="A308" s="107" t="str">
        <x:v>T21</x:v>
      </x:c>
      <x:c r="B308" s="107" t="str">
        <x:v>Amenities &amp; packaging</x:v>
      </x:c>
      <x:c r="C308" s="107" t="str">
        <x:v>Decision + evidence</x:v>
      </x:c>
      <x:c r="D308" s="108" t="str">
        <x:v>Brand sign-off required before mass production?</x:v>
      </x:c>
      <x:c r="E308" s="108" t="str">
        <x:v>Yes</x:v>
      </x:c>
      <x:c r="F308" s="109" t="str">
        <x:v>Approve recommendation</x:v>
      </x:c>
      <x:c r="G308" s="110"/>
      <x:c r="H308" s="108" t="str">
        <x:f>IF(F308="Approve recommendation",E308,IF(F308="Modify / custom answer",G308,IF(F308="Reject","Rejected",IF(F308="Defer","Deferred",IF(F308="Needs evidence","Pending evidence","")))))</x:f>
        <x:v>Yes</x:v>
      </x:c>
      <x:c r="I308" s="107" t="str">
        <x:f>IF(F308="","Pending",IF(F308="Approve recommendation","Approved",IF(F308="Modify / custom answer",IF(G308="","Action Required","Approved with modification"),IF(F308="Reject","Rejected",IF(F308="Defer","Deferred",IF(F308="Needs evidence","Evidence Required","Pending"))))))</x:f>
        <x:v>Approved</x:v>
      </x:c>
      <x:c r="J308" s="107" t="str">
        <x:v>Critical</x:v>
      </x:c>
      <x:c r="K308" s="110" t="str">
        <x:v>Product / Amenities Lead + Procurement / Supplier QA + Brand Owner</x:v>
      </x:c>
      <x:c r="L308" s="110"/>
      <x:c r="M308" s="108" t="str">
        <x:v>No</x:v>
      </x:c>
      <x:c r="N308" s="108" t="str"/>
      <x:c r="O308" s="108" t="str">
        <x:v>V2 audit</x:v>
      </x:c>
      <x:c r="P308" s="108" t="str">
        <x:v>SRC-02</x:v>
      </x:c>
      <x:c r="Q308" s="108" t="str"/>
      <x:c r="R308" s="108" t="str">
        <x:v>17 — Amenities &amp; Packaging</x:v>
      </x:c>
      <x:c r="S308" s="110" t="str">
        <x:v>ChatGPT prefill · 06 Oct 2026</x:v>
      </x:c>
    </x:row>
    <x:row r="309" ht="36" customHeight="1">
      <x:c r="A309" s="107" t="str">
        <x:v>T22</x:v>
      </x:c>
      <x:c r="B309" s="107" t="str">
        <x:v>Amenities &amp; packaging</x:v>
      </x:c>
      <x:c r="C309" s="107" t="str">
        <x:v>Brand decision</x:v>
      </x:c>
      <x:c r="D309" s="108" t="str">
        <x:v>Packaging version ID printed/in production records?</x:v>
      </x:c>
      <x:c r="E309" s="108" t="str">
        <x:v>Yes</x:v>
      </x:c>
      <x:c r="F309" s="109" t="str">
        <x:v>Approve recommendation</x:v>
      </x:c>
      <x:c r="G309" s="110"/>
      <x:c r="H309" s="108" t="str">
        <x:f>IF(F309="Approve recommendation",E309,IF(F309="Modify / custom answer",G309,IF(F309="Reject","Rejected",IF(F309="Defer","Deferred",IF(F309="Needs evidence","Pending evidence","")))))</x:f>
        <x:v>Yes</x:v>
      </x:c>
      <x:c r="I309" s="107" t="str">
        <x:f>IF(F309="","Pending",IF(F309="Approve recommendation","Approved",IF(F309="Modify / custom answer",IF(G309="","Action Required","Approved with modification"),IF(F309="Reject","Rejected",IF(F309="Defer","Deferred",IF(F309="Needs evidence","Evidence Required","Pending"))))))</x:f>
        <x:v>Approved</x:v>
      </x:c>
      <x:c r="J309" s="107" t="str">
        <x:v>Critical</x:v>
      </x:c>
      <x:c r="K309" s="110" t="str">
        <x:v>Product / Amenities Lead + Procurement / Supplier QA + Brand Owner</x:v>
      </x:c>
      <x:c r="L309" s="110"/>
      <x:c r="M309" s="108" t="str">
        <x:v>No</x:v>
      </x:c>
      <x:c r="N309" s="108" t="str"/>
      <x:c r="O309" s="108" t="str">
        <x:v>V2 audit</x:v>
      </x:c>
      <x:c r="P309" s="108" t="str">
        <x:v>SRC-02</x:v>
      </x:c>
      <x:c r="Q309" s="108" t="str"/>
      <x:c r="R309" s="108" t="str">
        <x:v>17 — Amenities &amp; Packaging</x:v>
      </x:c>
      <x:c r="S309" s="110" t="str">
        <x:v>ChatGPT prefill · 06 Oct 2026</x:v>
      </x:c>
    </x:row>
    <x:row r="310" ht="36" customHeight="1">
      <x:c r="A310" s="107" t="str">
        <x:v>T23</x:v>
      </x:c>
      <x:c r="B310" s="107" t="str">
        <x:v>Amenities &amp; packaging</x:v>
      </x:c>
      <x:c r="C310" s="107" t="str">
        <x:v>Brand decision</x:v>
      </x:c>
      <x:c r="D310" s="108" t="str">
        <x:v>Should concept mockups ever be treated as production approval?</x:v>
      </x:c>
      <x:c r="E310" s="108" t="str">
        <x:v>No</x:v>
      </x:c>
      <x:c r="F310" s="109" t="str">
        <x:v>Approve recommendation</x:v>
      </x:c>
      <x:c r="G310" s="110"/>
      <x:c r="H310" s="108" t="str">
        <x:f>IF(F310="Approve recommendation",E310,IF(F310="Modify / custom answer",G310,IF(F310="Reject","Rejected",IF(F310="Defer","Deferred",IF(F310="Needs evidence","Pending evidence","")))))</x:f>
        <x:v>No</x:v>
      </x:c>
      <x:c r="I310" s="107" t="str">
        <x:f>IF(F310="","Pending",IF(F310="Approve recommendation","Approved",IF(F310="Modify / custom answer",IF(G310="","Action Required","Approved with modification"),IF(F310="Reject","Rejected",IF(F310="Defer","Deferred",IF(F310="Needs evidence","Evidence Required","Pending"))))))</x:f>
        <x:v>Approved</x:v>
      </x:c>
      <x:c r="J310" s="107" t="str">
        <x:v>Critical</x:v>
      </x:c>
      <x:c r="K310" s="110" t="str">
        <x:v>Product / Amenities Lead + Procurement / Supplier QA + Brand Owner</x:v>
      </x:c>
      <x:c r="L310" s="110"/>
      <x:c r="M310" s="108" t="str">
        <x:v>No</x:v>
      </x:c>
      <x:c r="N310" s="108" t="str"/>
      <x:c r="O310" s="108" t="str">
        <x:v>V2 audit</x:v>
      </x:c>
      <x:c r="P310" s="108" t="str">
        <x:v>SRC-02</x:v>
      </x:c>
      <x:c r="Q310" s="108" t="str"/>
      <x:c r="R310" s="108" t="str">
        <x:v>17 — Amenities &amp; Packaging</x:v>
      </x:c>
      <x:c r="S310" s="110" t="str">
        <x:v>ChatGPT prefill · 06 Oct 2026</x:v>
      </x:c>
    </x:row>
    <x:row r="311" ht="36" customHeight="1">
      <x:c r="A311" s="107" t="str">
        <x:v>U01</x:v>
      </x:c>
      <x:c r="B311" s="107" t="str">
        <x:v>Print, material and fabrication</x:v>
      </x:c>
      <x:c r="C311" s="107" t="str">
        <x:v>Brand decision</x:v>
      </x:c>
      <x:c r="D311" s="108" t="str">
        <x:v>Preferred premium paper direction</x:v>
      </x:c>
      <x:c r="E311" s="108" t="str">
        <x:v>Uncoated / warm neutral</x:v>
      </x:c>
      <x:c r="F311" s="109" t="str">
        <x:v>Approve recommendation</x:v>
      </x:c>
      <x:c r="G311" s="110"/>
      <x:c r="H311" s="108" t="str">
        <x:f>IF(F311="Approve recommendation",E311,IF(F311="Modify / custom answer",G311,IF(F311="Reject","Rejected",IF(F311="Defer","Deferred",IF(F311="Needs evidence","Pending evidence","")))))</x:f>
        <x:v>Uncoated / warm neutral</x:v>
      </x:c>
      <x:c r="I311" s="107" t="str">
        <x:f>IF(F311="","Pending",IF(F311="Approve recommendation","Approved",IF(F311="Modify / custom answer",IF(G311="","Action Required","Approved with modification"),IF(F311="Reject","Rejected",IF(F311="Defer","Deferred",IF(F311="Needs evidence","Evidence Required","Pending"))))))</x:f>
        <x:v>Approved</x:v>
      </x:c>
      <x:c r="J311" s="107" t="str">
        <x:v>High</x:v>
      </x:c>
      <x:c r="K311" s="110" t="str">
        <x:v>Design Custodian + Procurement / Supplier QA</x:v>
      </x:c>
      <x:c r="L311" s="110"/>
      <x:c r="M311" s="108" t="str">
        <x:v>No</x:v>
      </x:c>
      <x:c r="N311" s="108" t="str"/>
      <x:c r="O311" s="108" t="str">
        <x:v>V2 guideline + V2 audit</x:v>
      </x:c>
      <x:c r="P311" s="108" t="str">
        <x:v>SRC-01, SRC-02</x:v>
      </x:c>
      <x:c r="Q311" s="108" t="str"/>
      <x:c r="R311" s="108" t="str">
        <x:v>18 — Print &amp; Production</x:v>
      </x:c>
      <x:c r="S311" s="110" t="str">
        <x:v>ChatGPT prefill · 06 Oct 2026</x:v>
      </x:c>
    </x:row>
    <x:row r="312" ht="36" customHeight="1">
      <x:c r="A312" s="107" t="str">
        <x:v>U02</x:v>
      </x:c>
      <x:c r="B312" s="107" t="str">
        <x:v>Print, material and fabrication</x:v>
      </x:c>
      <x:c r="C312" s="107" t="str">
        <x:v>Brand decision</x:v>
      </x:c>
      <x:c r="D312" s="108" t="str">
        <x:v>Deep Ink board/material</x:v>
      </x:c>
      <x:c r="E312" s="108" t="str">
        <x:v>Approved direction</x:v>
      </x:c>
      <x:c r="F312" s="109" t="str">
        <x:v>Approve recommendation</x:v>
      </x:c>
      <x:c r="G312" s="110"/>
      <x:c r="H312" s="108" t="str">
        <x:f>IF(F312="Approve recommendation",E312,IF(F312="Modify / custom answer",G312,IF(F312="Reject","Rejected",IF(F312="Defer","Deferred",IF(F312="Needs evidence","Pending evidence","")))))</x:f>
        <x:v>Approved direction</x:v>
      </x:c>
      <x:c r="I312" s="107" t="str">
        <x:f>IF(F312="","Pending",IF(F312="Approve recommendation","Approved",IF(F312="Modify / custom answer",IF(G312="","Action Required","Approved with modification"),IF(F312="Reject","Rejected",IF(F312="Defer","Deferred",IF(F312="Needs evidence","Evidence Required","Pending"))))))</x:f>
        <x:v>Approved</x:v>
      </x:c>
      <x:c r="J312" s="107" t="str">
        <x:v>High</x:v>
      </x:c>
      <x:c r="K312" s="110" t="str">
        <x:v>Design Custodian + Procurement / Supplier QA</x:v>
      </x:c>
      <x:c r="L312" s="110"/>
      <x:c r="M312" s="108" t="str">
        <x:v>No</x:v>
      </x:c>
      <x:c r="N312" s="108" t="str"/>
      <x:c r="O312" s="108" t="str">
        <x:v>V2 guideline + V2 audit</x:v>
      </x:c>
      <x:c r="P312" s="108" t="str">
        <x:v>SRC-01, SRC-02</x:v>
      </x:c>
      <x:c r="Q312" s="108" t="str"/>
      <x:c r="R312" s="108" t="str">
        <x:v>18 — Print &amp; Production</x:v>
      </x:c>
      <x:c r="S312" s="110" t="str">
        <x:v>ChatGPT prefill · 06 Oct 2026</x:v>
      </x:c>
    </x:row>
    <x:row r="313" ht="36" customHeight="1">
      <x:c r="A313" s="107" t="str">
        <x:v>U03</x:v>
      </x:c>
      <x:c r="B313" s="107" t="str">
        <x:v>Print, material and fabrication</x:v>
      </x:c>
      <x:c r="C313" s="107" t="str">
        <x:v>Brand decision</x:v>
      </x:c>
      <x:c r="D313" s="108" t="str">
        <x:v>Soft-touch finish</x:v>
      </x:c>
      <x:c r="E313" s="108" t="str">
        <x:v>Permitted selectively</x:v>
      </x:c>
      <x:c r="F313" s="109" t="str">
        <x:v>Approve recommendation</x:v>
      </x:c>
      <x:c r="G313" s="110"/>
      <x:c r="H313" s="108" t="str">
        <x:f>IF(F313="Approve recommendation",E313,IF(F313="Modify / custom answer",G313,IF(F313="Reject","Rejected",IF(F313="Defer","Deferred",IF(F313="Needs evidence","Pending evidence","")))))</x:f>
        <x:v>Permitted selectively</x:v>
      </x:c>
      <x:c r="I313" s="107" t="str">
        <x:f>IF(F313="","Pending",IF(F313="Approve recommendation","Approved",IF(F313="Modify / custom answer",IF(G313="","Action Required","Approved with modification"),IF(F313="Reject","Rejected",IF(F313="Defer","Deferred",IF(F313="Needs evidence","Evidence Required","Pending"))))))</x:f>
        <x:v>Approved</x:v>
      </x:c>
      <x:c r="J313" s="107" t="str">
        <x:v>High</x:v>
      </x:c>
      <x:c r="K313" s="110" t="str">
        <x:v>Design Custodian + Procurement / Supplier QA</x:v>
      </x:c>
      <x:c r="L313" s="110"/>
      <x:c r="M313" s="108" t="str">
        <x:v>No</x:v>
      </x:c>
      <x:c r="N313" s="108" t="str"/>
      <x:c r="O313" s="108" t="str">
        <x:v>V2 guideline + V2 audit</x:v>
      </x:c>
      <x:c r="P313" s="108" t="str">
        <x:v>SRC-01, SRC-02</x:v>
      </x:c>
      <x:c r="Q313" s="108" t="str"/>
      <x:c r="R313" s="108" t="str">
        <x:v>18 — Print &amp; Production</x:v>
      </x:c>
      <x:c r="S313" s="110" t="str">
        <x:v>ChatGPT prefill · 06 Oct 2026</x:v>
      </x:c>
    </x:row>
    <x:row r="314" ht="36" customHeight="1">
      <x:c r="A314" s="107" t="str">
        <x:v>U04</x:v>
      </x:c>
      <x:c r="B314" s="107" t="str">
        <x:v>Print, material and fabrication</x:v>
      </x:c>
      <x:c r="C314" s="107" t="str">
        <x:v>Brand decision</x:v>
      </x:c>
      <x:c r="D314" s="108" t="str">
        <x:v>Deboss</x:v>
      </x:c>
      <x:c r="E314" s="108" t="str">
        <x:v>Preferred selective technique</x:v>
      </x:c>
      <x:c r="F314" s="109" t="str">
        <x:v>Approve recommendation</x:v>
      </x:c>
      <x:c r="G314" s="110"/>
      <x:c r="H314" s="108" t="str">
        <x:f>IF(F314="Approve recommendation",E314,IF(F314="Modify / custom answer",G314,IF(F314="Reject","Rejected",IF(F314="Defer","Deferred",IF(F314="Needs evidence","Pending evidence","")))))</x:f>
        <x:v>Preferred selective technique</x:v>
      </x:c>
      <x:c r="I314" s="107" t="str">
        <x:f>IF(F314="","Pending",IF(F314="Approve recommendation","Approved",IF(F314="Modify / custom answer",IF(G314="","Action Required","Approved with modification"),IF(F314="Reject","Rejected",IF(F314="Defer","Deferred",IF(F314="Needs evidence","Evidence Required","Pending"))))))</x:f>
        <x:v>Approved</x:v>
      </x:c>
      <x:c r="J314" s="107" t="str">
        <x:v>High</x:v>
      </x:c>
      <x:c r="K314" s="110" t="str">
        <x:v>Design Custodian + Procurement / Supplier QA</x:v>
      </x:c>
      <x:c r="L314" s="110"/>
      <x:c r="M314" s="108" t="str">
        <x:v>No</x:v>
      </x:c>
      <x:c r="N314" s="108" t="str"/>
      <x:c r="O314" s="108" t="str">
        <x:v>V2 guideline + V2 audit</x:v>
      </x:c>
      <x:c r="P314" s="108" t="str">
        <x:v>SRC-01, SRC-02</x:v>
      </x:c>
      <x:c r="Q314" s="108" t="str"/>
      <x:c r="R314" s="108" t="str">
        <x:v>18 — Print &amp; Production</x:v>
      </x:c>
      <x:c r="S314" s="110" t="str">
        <x:v>ChatGPT prefill · 06 Oct 2026</x:v>
      </x:c>
    </x:row>
    <x:row r="315" ht="36" customHeight="1">
      <x:c r="A315" s="107" t="str">
        <x:v>U05</x:v>
      </x:c>
      <x:c r="B315" s="107" t="str">
        <x:v>Print, material and fabrication</x:v>
      </x:c>
      <x:c r="C315" s="107" t="str">
        <x:v>Brand decision</x:v>
      </x:c>
      <x:c r="D315" s="108" t="str">
        <x:v>Blind emboss</x:v>
      </x:c>
      <x:c r="E315" s="108" t="str">
        <x:v>Preferred selective technique</x:v>
      </x:c>
      <x:c r="F315" s="109" t="str">
        <x:v>Approve recommendation</x:v>
      </x:c>
      <x:c r="G315" s="110"/>
      <x:c r="H315" s="108" t="str">
        <x:f>IF(F315="Approve recommendation",E315,IF(F315="Modify / custom answer",G315,IF(F315="Reject","Rejected",IF(F315="Defer","Deferred",IF(F315="Needs evidence","Pending evidence","")))))</x:f>
        <x:v>Preferred selective technique</x:v>
      </x:c>
      <x:c r="I315" s="107" t="str">
        <x:f>IF(F315="","Pending",IF(F315="Approve recommendation","Approved",IF(F315="Modify / custom answer",IF(G315="","Action Required","Approved with modification"),IF(F315="Reject","Rejected",IF(F315="Defer","Deferred",IF(F315="Needs evidence","Evidence Required","Pending"))))))</x:f>
        <x:v>Approved</x:v>
      </x:c>
      <x:c r="J315" s="107" t="str">
        <x:v>High</x:v>
      </x:c>
      <x:c r="K315" s="110" t="str">
        <x:v>Design Custodian + Procurement / Supplier QA</x:v>
      </x:c>
      <x:c r="L315" s="110"/>
      <x:c r="M315" s="108" t="str">
        <x:v>No</x:v>
      </x:c>
      <x:c r="N315" s="108" t="str"/>
      <x:c r="O315" s="108" t="str">
        <x:v>V2 guideline + V2 audit</x:v>
      </x:c>
      <x:c r="P315" s="108" t="str">
        <x:v>SRC-01, SRC-02</x:v>
      </x:c>
      <x:c r="Q315" s="108" t="str"/>
      <x:c r="R315" s="108" t="str">
        <x:v>18 — Print &amp; Production</x:v>
      </x:c>
      <x:c r="S315" s="110" t="str">
        <x:v>ChatGPT prefill · 06 Oct 2026</x:v>
      </x:c>
    </x:row>
    <x:row r="316" ht="36" customHeight="1">
      <x:c r="A316" s="107" t="str">
        <x:v>U06</x:v>
      </x:c>
      <x:c r="B316" s="107" t="str">
        <x:v>Print, material and fabrication</x:v>
      </x:c>
      <x:c r="C316" s="107" t="str">
        <x:v>Brand decision</x:v>
      </x:c>
      <x:c r="D316" s="108" t="str">
        <x:v>Precision die-cut</x:v>
      </x:c>
      <x:c r="E316" s="108" t="str">
        <x:v>Permitted</x:v>
      </x:c>
      <x:c r="F316" s="109" t="str">
        <x:v>Approve recommendation</x:v>
      </x:c>
      <x:c r="G316" s="110"/>
      <x:c r="H316" s="108" t="str">
        <x:f>IF(F316="Approve recommendation",E316,IF(F316="Modify / custom answer",G316,IF(F316="Reject","Rejected",IF(F316="Defer","Deferred",IF(F316="Needs evidence","Pending evidence","")))))</x:f>
        <x:v>Permitted</x:v>
      </x:c>
      <x:c r="I316" s="107" t="str">
        <x:f>IF(F316="","Pending",IF(F316="Approve recommendation","Approved",IF(F316="Modify / custom answer",IF(G316="","Action Required","Approved with modification"),IF(F316="Reject","Rejected",IF(F316="Defer","Deferred",IF(F316="Needs evidence","Evidence Required","Pending"))))))</x:f>
        <x:v>Approved</x:v>
      </x:c>
      <x:c r="J316" s="107" t="str">
        <x:v>High</x:v>
      </x:c>
      <x:c r="K316" s="110" t="str">
        <x:v>Design Custodian + Procurement / Supplier QA</x:v>
      </x:c>
      <x:c r="L316" s="110"/>
      <x:c r="M316" s="108" t="str">
        <x:v>No</x:v>
      </x:c>
      <x:c r="N316" s="108" t="str"/>
      <x:c r="O316" s="108" t="str">
        <x:v>V2 guideline + V2 audit</x:v>
      </x:c>
      <x:c r="P316" s="108" t="str">
        <x:v>SRC-01, SRC-02</x:v>
      </x:c>
      <x:c r="Q316" s="108" t="str"/>
      <x:c r="R316" s="108" t="str">
        <x:v>18 — Print &amp; Production</x:v>
      </x:c>
      <x:c r="S316" s="110" t="str">
        <x:v>ChatGPT prefill · 06 Oct 2026</x:v>
      </x:c>
    </x:row>
    <x:row r="317" ht="36" customHeight="1">
      <x:c r="A317" s="107" t="str">
        <x:v>U07</x:v>
      </x:c>
      <x:c r="B317" s="107" t="str">
        <x:v>Print, material and fabrication</x:v>
      </x:c>
      <x:c r="C317" s="107" t="str">
        <x:v>Brand decision</x:v>
      </x:c>
      <x:c r="D317" s="108" t="str">
        <x:v>Foil</x:v>
      </x:c>
      <x:c r="E317" s="108" t="str">
        <x:v>Use only if specifically approved, not default</x:v>
      </x:c>
      <x:c r="F317" s="109" t="str">
        <x:v>Approve recommendation</x:v>
      </x:c>
      <x:c r="G317" s="110"/>
      <x:c r="H317" s="108" t="str">
        <x:f>IF(F317="Approve recommendation",E317,IF(F317="Modify / custom answer",G317,IF(F317="Reject","Rejected",IF(F317="Defer","Deferred",IF(F317="Needs evidence","Pending evidence","")))))</x:f>
        <x:v>Use only if specifically approved, not default</x:v>
      </x:c>
      <x:c r="I317" s="107" t="str">
        <x:f>IF(F317="","Pending",IF(F317="Approve recommendation","Approved",IF(F317="Modify / custom answer",IF(G317="","Action Required","Approved with modification"),IF(F317="Reject","Rejected",IF(F317="Defer","Deferred",IF(F317="Needs evidence","Evidence Required","Pending"))))))</x:f>
        <x:v>Approved</x:v>
      </x:c>
      <x:c r="J317" s="107" t="str">
        <x:v>High</x:v>
      </x:c>
      <x:c r="K317" s="110" t="str">
        <x:v>Design Custodian + Procurement / Supplier QA</x:v>
      </x:c>
      <x:c r="L317" s="110"/>
      <x:c r="M317" s="108" t="str">
        <x:v>No</x:v>
      </x:c>
      <x:c r="N317" s="108" t="str"/>
      <x:c r="O317" s="108" t="str">
        <x:v>V2 guideline + V2 audit</x:v>
      </x:c>
      <x:c r="P317" s="108" t="str">
        <x:v>SRC-01, SRC-02</x:v>
      </x:c>
      <x:c r="Q317" s="108" t="str"/>
      <x:c r="R317" s="108" t="str">
        <x:v>18 — Print &amp; Production</x:v>
      </x:c>
      <x:c r="S317" s="110" t="str">
        <x:v>ChatGPT prefill · 06 Oct 2026</x:v>
      </x:c>
    </x:row>
    <x:row r="318" ht="36" customHeight="1">
      <x:c r="A318" s="107" t="str">
        <x:v>U08</x:v>
      </x:c>
      <x:c r="B318" s="107" t="str">
        <x:v>Print, material and fabrication</x:v>
      </x:c>
      <x:c r="C318" s="107" t="str">
        <x:v>Brand decision</x:v>
      </x:c>
      <x:c r="D318" s="108" t="str">
        <x:v>Chrome/holographic</x:v>
      </x:c>
      <x:c r="E318" s="108" t="str">
        <x:v>Avoid</x:v>
      </x:c>
      <x:c r="F318" s="109" t="str">
        <x:v>Approve recommendation</x:v>
      </x:c>
      <x:c r="G318" s="110"/>
      <x:c r="H318" s="108" t="str">
        <x:f>IF(F318="Approve recommendation",E318,IF(F318="Modify / custom answer",G318,IF(F318="Reject","Rejected",IF(F318="Defer","Deferred",IF(F318="Needs evidence","Pending evidence","")))))</x:f>
        <x:v>Avoid</x:v>
      </x:c>
      <x:c r="I318" s="107" t="str">
        <x:f>IF(F318="","Pending",IF(F318="Approve recommendation","Approved",IF(F318="Modify / custom answer",IF(G318="","Action Required","Approved with modification"),IF(F318="Reject","Rejected",IF(F318="Defer","Deferred",IF(F318="Needs evidence","Evidence Required","Pending"))))))</x:f>
        <x:v>Approved</x:v>
      </x:c>
      <x:c r="J318" s="107" t="str">
        <x:v>High</x:v>
      </x:c>
      <x:c r="K318" s="110" t="str">
        <x:v>Design Custodian + Procurement / Supplier QA</x:v>
      </x:c>
      <x:c r="L318" s="110"/>
      <x:c r="M318" s="108" t="str">
        <x:v>No</x:v>
      </x:c>
      <x:c r="N318" s="108" t="str"/>
      <x:c r="O318" s="108" t="str">
        <x:v>V2 guideline + V2 audit</x:v>
      </x:c>
      <x:c r="P318" s="108" t="str">
        <x:v>SRC-01, SRC-02</x:v>
      </x:c>
      <x:c r="Q318" s="108" t="str"/>
      <x:c r="R318" s="108" t="str">
        <x:v>18 — Print &amp; Production</x:v>
      </x:c>
      <x:c r="S318" s="110" t="str">
        <x:v>ChatGPT prefill · 06 Oct 2026</x:v>
      </x:c>
    </x:row>
    <x:row r="319" ht="36" customHeight="1">
      <x:c r="A319" s="107" t="str">
        <x:v>U09</x:v>
      </x:c>
      <x:c r="B319" s="107" t="str">
        <x:v>Print, material and fabrication</x:v>
      </x:c>
      <x:c r="C319" s="107" t="str">
        <x:v>Brand decision</x:v>
      </x:c>
      <x:c r="D319" s="108" t="str">
        <x:v>High-gloss finish</x:v>
      </x:c>
      <x:c r="E319" s="108" t="str">
        <x:v>Avoid as core expression</x:v>
      </x:c>
      <x:c r="F319" s="109" t="str">
        <x:v>Approve recommendation</x:v>
      </x:c>
      <x:c r="G319" s="110"/>
      <x:c r="H319" s="108" t="str">
        <x:f>IF(F319="Approve recommendation",E319,IF(F319="Modify / custom answer",G319,IF(F319="Reject","Rejected",IF(F319="Defer","Deferred",IF(F319="Needs evidence","Pending evidence","")))))</x:f>
        <x:v>Avoid as core expression</x:v>
      </x:c>
      <x:c r="I319" s="107" t="str">
        <x:f>IF(F319="","Pending",IF(F319="Approve recommendation","Approved",IF(F319="Modify / custom answer",IF(G319="","Action Required","Approved with modification"),IF(F319="Reject","Rejected",IF(F319="Defer","Deferred",IF(F319="Needs evidence","Evidence Required","Pending"))))))</x:f>
        <x:v>Approved</x:v>
      </x:c>
      <x:c r="J319" s="107" t="str">
        <x:v>High</x:v>
      </x:c>
      <x:c r="K319" s="110" t="str">
        <x:v>Design Custodian + Procurement / Supplier QA</x:v>
      </x:c>
      <x:c r="L319" s="110"/>
      <x:c r="M319" s="108" t="str">
        <x:v>No</x:v>
      </x:c>
      <x:c r="N319" s="108" t="str"/>
      <x:c r="O319" s="108" t="str">
        <x:v>V2 guideline + V2 audit</x:v>
      </x:c>
      <x:c r="P319" s="108" t="str">
        <x:v>SRC-01, SRC-02</x:v>
      </x:c>
      <x:c r="Q319" s="108" t="str"/>
      <x:c r="R319" s="108" t="str">
        <x:v>18 — Print &amp; Production</x:v>
      </x:c>
      <x:c r="S319" s="110" t="str">
        <x:v>ChatGPT prefill · 06 Oct 2026</x:v>
      </x:c>
    </x:row>
    <x:row r="320" ht="36" customHeight="1">
      <x:c r="A320" s="107" t="str">
        <x:v>U10</x:v>
      </x:c>
      <x:c r="B320" s="107" t="str">
        <x:v>Print, material and fabrication</x:v>
      </x:c>
      <x:c r="C320" s="107" t="str">
        <x:v>Brand decision</x:v>
      </x:c>
      <x:c r="D320" s="108" t="str">
        <x:v>Metallic gold</x:v>
      </x:c>
      <x:c r="E320" s="108" t="str">
        <x:v>Not a default GEM color</x:v>
      </x:c>
      <x:c r="F320" s="109" t="str">
        <x:v>Approve recommendation</x:v>
      </x:c>
      <x:c r="G320" s="110"/>
      <x:c r="H320" s="108" t="str">
        <x:f>IF(F320="Approve recommendation",E320,IF(F320="Modify / custom answer",G320,IF(F320="Reject","Rejected",IF(F320="Defer","Deferred",IF(F320="Needs evidence","Pending evidence","")))))</x:f>
        <x:v>Not a default GEM color</x:v>
      </x:c>
      <x:c r="I320" s="107" t="str">
        <x:f>IF(F320="","Pending",IF(F320="Approve recommendation","Approved",IF(F320="Modify / custom answer",IF(G320="","Action Required","Approved with modification"),IF(F320="Reject","Rejected",IF(F320="Defer","Deferred",IF(F320="Needs evidence","Evidence Required","Pending"))))))</x:f>
        <x:v>Approved</x:v>
      </x:c>
      <x:c r="J320" s="107" t="str">
        <x:v>High</x:v>
      </x:c>
      <x:c r="K320" s="110" t="str">
        <x:v>Design Custodian + Procurement / Supplier QA</x:v>
      </x:c>
      <x:c r="L320" s="110"/>
      <x:c r="M320" s="108" t="str">
        <x:v>No</x:v>
      </x:c>
      <x:c r="N320" s="108" t="str"/>
      <x:c r="O320" s="108" t="str">
        <x:v>V2 guideline + V2 audit</x:v>
      </x:c>
      <x:c r="P320" s="108" t="str">
        <x:v>SRC-01, SRC-02</x:v>
      </x:c>
      <x:c r="Q320" s="108" t="str"/>
      <x:c r="R320" s="108" t="str">
        <x:v>18 — Print &amp; Production</x:v>
      </x:c>
      <x:c r="S320" s="110" t="str">
        <x:v>ChatGPT prefill · 06 Oct 2026</x:v>
      </x:c>
    </x:row>
    <x:row r="321" ht="36" customHeight="1">
      <x:c r="A321" s="107" t="str">
        <x:v>U11</x:v>
      </x:c>
      <x:c r="B321" s="107" t="str">
        <x:v>Print, material and fabrication</x:v>
      </x:c>
      <x:c r="C321" s="107" t="str">
        <x:v>Decision + evidence</x:v>
      </x:c>
      <x:c r="D321" s="108" t="str">
        <x:v>Minimum stroke/mark size per fabrication process</x:v>
      </x:c>
      <x:c r="E321" s="108" t="str">
        <x:v>Must be tested and documented</x:v>
      </x:c>
      <x:c r="F321" s="109" t="str">
        <x:v>Approve recommendation</x:v>
      </x:c>
      <x:c r="G321" s="110"/>
      <x:c r="H321" s="108" t="str">
        <x:f>IF(F321="Approve recommendation",E321,IF(F321="Modify / custom answer",G321,IF(F321="Reject","Rejected",IF(F321="Defer","Deferred",IF(F321="Needs evidence","Pending evidence","")))))</x:f>
        <x:v>Must be tested and documented</x:v>
      </x:c>
      <x:c r="I321" s="107" t="str">
        <x:f>IF(F321="","Pending",IF(F321="Approve recommendation","Approved",IF(F321="Modify / custom answer",IF(G321="","Action Required","Approved with modification"),IF(F321="Reject","Rejected",IF(F321="Defer","Deferred",IF(F321="Needs evidence","Evidence Required","Pending"))))))</x:f>
        <x:v>Approved</x:v>
      </x:c>
      <x:c r="J321" s="107" t="str">
        <x:v>High</x:v>
      </x:c>
      <x:c r="K321" s="110" t="str">
        <x:v>Design Custodian + Procurement / Supplier QA</x:v>
      </x:c>
      <x:c r="L321" s="110"/>
      <x:c r="M321" s="108" t="str">
        <x:v>Yes</x:v>
      </x:c>
      <x:c r="N321" s="108" t="str"/>
      <x:c r="O321" s="108" t="str">
        <x:v>V2 guideline + V2 audit</x:v>
      </x:c>
      <x:c r="P321" s="108" t="str">
        <x:v>SRC-01, SRC-02</x:v>
      </x:c>
      <x:c r="Q321" s="108" t="str"/>
      <x:c r="R321" s="108" t="str">
        <x:v>18 — Print &amp; Production</x:v>
      </x:c>
      <x:c r="S321" s="110" t="str">
        <x:v>ChatGPT prefill · 06 Oct 2026</x:v>
      </x:c>
    </x:row>
    <x:row r="322" ht="36" customHeight="1">
      <x:c r="A322" s="107" t="str">
        <x:v>U12</x:v>
      </x:c>
      <x:c r="B322" s="107" t="str">
        <x:v>Print, material and fabrication</x:v>
      </x:c>
      <x:c r="C322" s="107" t="str">
        <x:v>Decision + evidence</x:v>
      </x:c>
      <x:c r="D322" s="108" t="str">
        <x:v>Require printer/supplier proofs?</x:v>
      </x:c>
      <x:c r="E322" s="108" t="str">
        <x:v>Yes</x:v>
      </x:c>
      <x:c r="F322" s="109" t="str">
        <x:v>Approve recommendation</x:v>
      </x:c>
      <x:c r="G322" s="110"/>
      <x:c r="H322" s="108" t="str">
        <x:f>IF(F322="Approve recommendation",E322,IF(F322="Modify / custom answer",G322,IF(F322="Reject","Rejected",IF(F322="Defer","Deferred",IF(F322="Needs evidence","Pending evidence","")))))</x:f>
        <x:v>Yes</x:v>
      </x:c>
      <x:c r="I322" s="107" t="str">
        <x:f>IF(F322="","Pending",IF(F322="Approve recommendation","Approved",IF(F322="Modify / custom answer",IF(G322="","Action Required","Approved with modification"),IF(F322="Reject","Rejected",IF(F322="Defer","Deferred",IF(F322="Needs evidence","Evidence Required","Pending"))))))</x:f>
        <x:v>Approved</x:v>
      </x:c>
      <x:c r="J322" s="107" t="str">
        <x:v>High</x:v>
      </x:c>
      <x:c r="K322" s="110" t="str">
        <x:v>Design Custodian + Procurement / Supplier QA</x:v>
      </x:c>
      <x:c r="L322" s="110"/>
      <x:c r="M322" s="108" t="str">
        <x:v>Yes</x:v>
      </x:c>
      <x:c r="N322" s="108" t="str"/>
      <x:c r="O322" s="108" t="str">
        <x:v>V2 guideline + V2 audit</x:v>
      </x:c>
      <x:c r="P322" s="108" t="str">
        <x:v>SRC-01, SRC-02</x:v>
      </x:c>
      <x:c r="Q322" s="108" t="str"/>
      <x:c r="R322" s="108" t="str">
        <x:v>18 — Print &amp; Production</x:v>
      </x:c>
      <x:c r="S322" s="110" t="str">
        <x:v>ChatGPT prefill · 06 Oct 2026</x:v>
      </x:c>
    </x:row>
    <x:row r="323" ht="36" customHeight="1">
      <x:c r="A323" s="107" t="str">
        <x:v>U13</x:v>
      </x:c>
      <x:c r="B323" s="107" t="str">
        <x:v>Print, material and fabrication</x:v>
      </x:c>
      <x:c r="C323" s="107" t="str">
        <x:v>Brand decision</x:v>
      </x:c>
      <x:c r="D323" s="108" t="str">
        <x:v>Require signed physical reference sample?</x:v>
      </x:c>
      <x:c r="E323" s="108" t="str">
        <x:v>Yes</x:v>
      </x:c>
      <x:c r="F323" s="109" t="str">
        <x:v>Approve recommendation</x:v>
      </x:c>
      <x:c r="G323" s="110"/>
      <x:c r="H323" s="108" t="str">
        <x:f>IF(F323="Approve recommendation",E323,IF(F323="Modify / custom answer",G323,IF(F323="Reject","Rejected",IF(F323="Defer","Deferred",IF(F323="Needs evidence","Pending evidence","")))))</x:f>
        <x:v>Yes</x:v>
      </x:c>
      <x:c r="I323" s="107" t="str">
        <x:f>IF(F323="","Pending",IF(F323="Approve recommendation","Approved",IF(F323="Modify / custom answer",IF(G323="","Action Required","Approved with modification"),IF(F323="Reject","Rejected",IF(F323="Defer","Deferred",IF(F323="Needs evidence","Evidence Required","Pending"))))))</x:f>
        <x:v>Approved</x:v>
      </x:c>
      <x:c r="J323" s="107" t="str">
        <x:v>High</x:v>
      </x:c>
      <x:c r="K323" s="110" t="str">
        <x:v>Design Custodian + Procurement / Supplier QA</x:v>
      </x:c>
      <x:c r="L323" s="110"/>
      <x:c r="M323" s="108" t="str">
        <x:v>Yes</x:v>
      </x:c>
      <x:c r="N323" s="108" t="str"/>
      <x:c r="O323" s="108" t="str">
        <x:v>V2 guideline + V2 audit</x:v>
      </x:c>
      <x:c r="P323" s="108" t="str">
        <x:v>SRC-01, SRC-02</x:v>
      </x:c>
      <x:c r="Q323" s="108" t="str"/>
      <x:c r="R323" s="108" t="str">
        <x:v>18 — Print &amp; Production</x:v>
      </x:c>
      <x:c r="S323" s="110" t="str">
        <x:v>ChatGPT prefill · 06 Oct 2026</x:v>
      </x:c>
    </x:row>
    <x:row r="324" ht="36" customHeight="1">
      <x:c r="A324" s="107" t="str">
        <x:v>V01</x:v>
      </x:c>
      <x:c r="B324" s="107" t="str">
        <x:v>Accessibility and inclusive design</x:v>
      </x:c>
      <x:c r="C324" s="107" t="str">
        <x:v>Brand decision</x:v>
      </x:c>
      <x:c r="D324" s="108" t="str">
        <x:v>Digital target</x:v>
      </x:c>
      <x:c r="E324" s="108" t="str">
        <x:v>WCAG 2.2 AA</x:v>
      </x:c>
      <x:c r="F324" s="109" t="str">
        <x:v>Approve recommendation</x:v>
      </x:c>
      <x:c r="G324" s="110"/>
      <x:c r="H324" s="108" t="str">
        <x:f>IF(F324="Approve recommendation",E324,IF(F324="Modify / custom answer",G324,IF(F324="Reject","Rejected",IF(F324="Defer","Deferred",IF(F324="Needs evidence","Pending evidence","")))))</x:f>
        <x:v>WCAG 2.2 AA</x:v>
      </x:c>
      <x:c r="I324" s="107" t="str">
        <x:f>IF(F324="","Pending",IF(F324="Approve recommendation","Approved",IF(F324="Modify / custom answer",IF(G324="","Action Required","Approved with modification"),IF(F324="Reject","Rejected",IF(F324="Defer","Deferred",IF(F324="Needs evidence","Evidence Required","Pending"))))))</x:f>
        <x:v>Approved</x:v>
      </x:c>
      <x:c r="J324" s="107" t="str">
        <x:v>Critical</x:v>
      </x:c>
      <x:c r="K324" s="110" t="str">
        <x:v>Accessibility QA</x:v>
      </x:c>
      <x:c r="L324" s="110"/>
      <x:c r="M324" s="108" t="str">
        <x:v>Yes</x:v>
      </x:c>
      <x:c r="N324" s="108" t="str"/>
      <x:c r="O324" s="108" t="str">
        <x:v>V2 audit + best practice</x:v>
      </x:c>
      <x:c r="P324" s="108" t="str">
        <x:v>SRC-02</x:v>
      </x:c>
      <x:c r="Q324" s="108" t="str"/>
      <x:c r="R324" s="108" t="str">
        <x:v>19 — Accessibility</x:v>
      </x:c>
      <x:c r="S324" s="110" t="str">
        <x:v>ChatGPT prefill · 06 Oct 2026</x:v>
      </x:c>
    </x:row>
    <x:row r="325" ht="36" customHeight="1">
      <x:c r="A325" s="107" t="str">
        <x:v>V02</x:v>
      </x:c>
      <x:c r="B325" s="107" t="str">
        <x:v>Accessibility and inclusive design</x:v>
      </x:c>
      <x:c r="C325" s="107" t="str">
        <x:v>Brand decision</x:v>
      </x:c>
      <x:c r="D325" s="108" t="str">
        <x:v>Meaningful image alt text</x:v>
      </x:c>
      <x:c r="E325" s="108" t="str">
        <x:v>Mandatory</x:v>
      </x:c>
      <x:c r="F325" s="109" t="str">
        <x:v>Approve recommendation</x:v>
      </x:c>
      <x:c r="G325" s="110"/>
      <x:c r="H325" s="108" t="str">
        <x:f>IF(F325="Approve recommendation",E325,IF(F325="Modify / custom answer",G325,IF(F325="Reject","Rejected",IF(F325="Defer","Deferred",IF(F325="Needs evidence","Pending evidence","")))))</x:f>
        <x:v>Mandatory</x:v>
      </x:c>
      <x:c r="I325" s="107" t="str">
        <x:f>IF(F325="","Pending",IF(F325="Approve recommendation","Approved",IF(F325="Modify / custom answer",IF(G325="","Action Required","Approved with modification"),IF(F325="Reject","Rejected",IF(F325="Defer","Deferred",IF(F325="Needs evidence","Evidence Required","Pending"))))))</x:f>
        <x:v>Approved</x:v>
      </x:c>
      <x:c r="J325" s="107" t="str">
        <x:v>Critical</x:v>
      </x:c>
      <x:c r="K325" s="110" t="str">
        <x:v>Accessibility QA</x:v>
      </x:c>
      <x:c r="L325" s="110"/>
      <x:c r="M325" s="108" t="str">
        <x:v>No</x:v>
      </x:c>
      <x:c r="N325" s="108" t="str"/>
      <x:c r="O325" s="108" t="str">
        <x:v>V2 audit + best practice</x:v>
      </x:c>
      <x:c r="P325" s="108" t="str">
        <x:v>SRC-02</x:v>
      </x:c>
      <x:c r="Q325" s="108" t="str"/>
      <x:c r="R325" s="108" t="str">
        <x:v>19 — Accessibility</x:v>
      </x:c>
      <x:c r="S325" s="110" t="str">
        <x:v>ChatGPT prefill · 06 Oct 2026</x:v>
      </x:c>
    </x:row>
    <x:row r="326" ht="36" customHeight="1">
      <x:c r="A326" s="107" t="str">
        <x:v>V03</x:v>
      </x:c>
      <x:c r="B326" s="107" t="str">
        <x:v>Accessibility and inclusive design</x:v>
      </x:c>
      <x:c r="C326" s="107" t="str">
        <x:v>Brand decision</x:v>
      </x:c>
      <x:c r="D326" s="108" t="str">
        <x:v>Decorative geometry marked decorative?</x:v>
      </x:c>
      <x:c r="E326" s="108" t="str">
        <x:v>Yes</x:v>
      </x:c>
      <x:c r="F326" s="109" t="str">
        <x:v>Approve recommendation</x:v>
      </x:c>
      <x:c r="G326" s="110"/>
      <x:c r="H326" s="108" t="str">
        <x:f>IF(F326="Approve recommendation",E326,IF(F326="Modify / custom answer",G326,IF(F326="Reject","Rejected",IF(F326="Defer","Deferred",IF(F326="Needs evidence","Pending evidence","")))))</x:f>
        <x:v>Yes</x:v>
      </x:c>
      <x:c r="I326" s="107" t="str">
        <x:f>IF(F326="","Pending",IF(F326="Approve recommendation","Approved",IF(F326="Modify / custom answer",IF(G326="","Action Required","Approved with modification"),IF(F326="Reject","Rejected",IF(F326="Defer","Deferred",IF(F326="Needs evidence","Evidence Required","Pending"))))))</x:f>
        <x:v>Approved</x:v>
      </x:c>
      <x:c r="J326" s="107" t="str">
        <x:v>Critical</x:v>
      </x:c>
      <x:c r="K326" s="110" t="str">
        <x:v>Accessibility QA</x:v>
      </x:c>
      <x:c r="L326" s="110"/>
      <x:c r="M326" s="108" t="str">
        <x:v>No</x:v>
      </x:c>
      <x:c r="N326" s="108" t="str"/>
      <x:c r="O326" s="108" t="str">
        <x:v>V2 audit + best practice</x:v>
      </x:c>
      <x:c r="P326" s="108" t="str">
        <x:v>SRC-02</x:v>
      </x:c>
      <x:c r="Q326" s="108" t="str"/>
      <x:c r="R326" s="108" t="str">
        <x:v>19 — Accessibility</x:v>
      </x:c>
      <x:c r="S326" s="110" t="str">
        <x:v>ChatGPT prefill · 06 Oct 2026</x:v>
      </x:c>
    </x:row>
    <x:row r="327" ht="36" customHeight="1">
      <x:c r="A327" s="107" t="str">
        <x:v>V04</x:v>
      </x:c>
      <x:c r="B327" s="107" t="str">
        <x:v>Accessibility and inclusive design</x:v>
      </x:c>
      <x:c r="C327" s="107" t="str">
        <x:v>Brand decision</x:v>
      </x:c>
      <x:c r="D327" s="108" t="str">
        <x:v>Presentation slide titles</x:v>
      </x:c>
      <x:c r="E327" s="108" t="str">
        <x:v>Mandatory</x:v>
      </x:c>
      <x:c r="F327" s="109" t="str">
        <x:v>Approve recommendation</x:v>
      </x:c>
      <x:c r="G327" s="110"/>
      <x:c r="H327" s="108" t="str">
        <x:f>IF(F327="Approve recommendation",E327,IF(F327="Modify / custom answer",G327,IF(F327="Reject","Rejected",IF(F327="Defer","Deferred",IF(F327="Needs evidence","Pending evidence","")))))</x:f>
        <x:v>Mandatory</x:v>
      </x:c>
      <x:c r="I327" s="107" t="str">
        <x:f>IF(F327="","Pending",IF(F327="Approve recommendation","Approved",IF(F327="Modify / custom answer",IF(G327="","Action Required","Approved with modification"),IF(F327="Reject","Rejected",IF(F327="Defer","Deferred",IF(F327="Needs evidence","Evidence Required","Pending"))))))</x:f>
        <x:v>Approved</x:v>
      </x:c>
      <x:c r="J327" s="107" t="str">
        <x:v>Critical</x:v>
      </x:c>
      <x:c r="K327" s="110" t="str">
        <x:v>Accessibility QA</x:v>
      </x:c>
      <x:c r="L327" s="110"/>
      <x:c r="M327" s="108" t="str">
        <x:v>No</x:v>
      </x:c>
      <x:c r="N327" s="108" t="str"/>
      <x:c r="O327" s="108" t="str">
        <x:v>V2 audit + best practice</x:v>
      </x:c>
      <x:c r="P327" s="108" t="str">
        <x:v>SRC-02</x:v>
      </x:c>
      <x:c r="Q327" s="108" t="str"/>
      <x:c r="R327" s="108" t="str">
        <x:v>19 — Accessibility</x:v>
      </x:c>
      <x:c r="S327" s="110" t="str">
        <x:v>ChatGPT prefill · 06 Oct 2026</x:v>
      </x:c>
    </x:row>
    <x:row r="328" ht="36" customHeight="1">
      <x:c r="A328" s="107" t="str">
        <x:v>V05</x:v>
      </x:c>
      <x:c r="B328" s="107" t="str">
        <x:v>Accessibility and inclusive design</x:v>
      </x:c>
      <x:c r="C328" s="107" t="str">
        <x:v>Brand decision</x:v>
      </x:c>
      <x:c r="D328" s="108" t="str">
        <x:v>Logical reading order</x:v>
      </x:c>
      <x:c r="E328" s="108" t="str">
        <x:v>Mandatory</x:v>
      </x:c>
      <x:c r="F328" s="109" t="str">
        <x:v>Approve recommendation</x:v>
      </x:c>
      <x:c r="G328" s="110"/>
      <x:c r="H328" s="108" t="str">
        <x:f>IF(F328="Approve recommendation",E328,IF(F328="Modify / custom answer",G328,IF(F328="Reject","Rejected",IF(F328="Defer","Deferred",IF(F328="Needs evidence","Pending evidence","")))))</x:f>
        <x:v>Mandatory</x:v>
      </x:c>
      <x:c r="I328" s="107" t="str">
        <x:f>IF(F328="","Pending",IF(F328="Approve recommendation","Approved",IF(F328="Modify / custom answer",IF(G328="","Action Required","Approved with modification"),IF(F328="Reject","Rejected",IF(F328="Defer","Deferred",IF(F328="Needs evidence","Evidence Required","Pending"))))))</x:f>
        <x:v>Approved</x:v>
      </x:c>
      <x:c r="J328" s="107" t="str">
        <x:v>Critical</x:v>
      </x:c>
      <x:c r="K328" s="110" t="str">
        <x:v>Accessibility QA</x:v>
      </x:c>
      <x:c r="L328" s="110"/>
      <x:c r="M328" s="108" t="str">
        <x:v>No</x:v>
      </x:c>
      <x:c r="N328" s="108" t="str"/>
      <x:c r="O328" s="108" t="str">
        <x:v>V2 audit + best practice</x:v>
      </x:c>
      <x:c r="P328" s="108" t="str">
        <x:v>SRC-02</x:v>
      </x:c>
      <x:c r="Q328" s="108" t="str"/>
      <x:c r="R328" s="108" t="str">
        <x:v>19 — Accessibility</x:v>
      </x:c>
      <x:c r="S328" s="110" t="str">
        <x:v>ChatGPT prefill · 06 Oct 2026</x:v>
      </x:c>
    </x:row>
    <x:row r="329" ht="36" customHeight="1">
      <x:c r="A329" s="107" t="str">
        <x:v>V06</x:v>
      </x:c>
      <x:c r="B329" s="107" t="str">
        <x:v>Accessibility and inclusive design</x:v>
      </x:c>
      <x:c r="C329" s="107" t="str">
        <x:v>Brand decision</x:v>
      </x:c>
      <x:c r="D329" s="108" t="str">
        <x:v>Table headers</x:v>
      </x:c>
      <x:c r="E329" s="108" t="str">
        <x:v>Mandatory</x:v>
      </x:c>
      <x:c r="F329" s="109" t="str">
        <x:v>Approve recommendation</x:v>
      </x:c>
      <x:c r="G329" s="110"/>
      <x:c r="H329" s="108" t="str">
        <x:f>IF(F329="Approve recommendation",E329,IF(F329="Modify / custom answer",G329,IF(F329="Reject","Rejected",IF(F329="Defer","Deferred",IF(F329="Needs evidence","Pending evidence","")))))</x:f>
        <x:v>Mandatory</x:v>
      </x:c>
      <x:c r="I329" s="107" t="str">
        <x:f>IF(F329="","Pending",IF(F329="Approve recommendation","Approved",IF(F329="Modify / custom answer",IF(G329="","Action Required","Approved with modification"),IF(F329="Reject","Rejected",IF(F329="Defer","Deferred",IF(F329="Needs evidence","Evidence Required","Pending"))))))</x:f>
        <x:v>Approved</x:v>
      </x:c>
      <x:c r="J329" s="107" t="str">
        <x:v>Critical</x:v>
      </x:c>
      <x:c r="K329" s="110" t="str">
        <x:v>Accessibility QA</x:v>
      </x:c>
      <x:c r="L329" s="110"/>
      <x:c r="M329" s="108" t="str">
        <x:v>No</x:v>
      </x:c>
      <x:c r="N329" s="108" t="str"/>
      <x:c r="O329" s="108" t="str">
        <x:v>V2 audit + best practice</x:v>
      </x:c>
      <x:c r="P329" s="108" t="str">
        <x:v>SRC-02</x:v>
      </x:c>
      <x:c r="Q329" s="108" t="str"/>
      <x:c r="R329" s="108" t="str">
        <x:v>19 — Accessibility</x:v>
      </x:c>
      <x:c r="S329" s="110" t="str">
        <x:v>ChatGPT prefill · 06 Oct 2026</x:v>
      </x:c>
    </x:row>
    <x:row r="330" ht="36" customHeight="1">
      <x:c r="A330" s="107" t="str">
        <x:v>V07</x:v>
      </x:c>
      <x:c r="B330" s="107" t="str">
        <x:v>Accessibility and inclusive design</x:v>
      </x:c>
      <x:c r="C330" s="107" t="str">
        <x:v>Brand decision</x:v>
      </x:c>
      <x:c r="D330" s="108" t="str">
        <x:v>Accessible link labels</x:v>
      </x:c>
      <x:c r="E330" s="108" t="str">
        <x:v>Mandatory</x:v>
      </x:c>
      <x:c r="F330" s="109" t="str">
        <x:v>Approve recommendation</x:v>
      </x:c>
      <x:c r="G330" s="110"/>
      <x:c r="H330" s="108" t="str">
        <x:f>IF(F330="Approve recommendation",E330,IF(F330="Modify / custom answer",G330,IF(F330="Reject","Rejected",IF(F330="Defer","Deferred",IF(F330="Needs evidence","Pending evidence","")))))</x:f>
        <x:v>Mandatory</x:v>
      </x:c>
      <x:c r="I330" s="107" t="str">
        <x:f>IF(F330="","Pending",IF(F330="Approve recommendation","Approved",IF(F330="Modify / custom answer",IF(G330="","Action Required","Approved with modification"),IF(F330="Reject","Rejected",IF(F330="Defer","Deferred",IF(F330="Needs evidence","Evidence Required","Pending"))))))</x:f>
        <x:v>Approved</x:v>
      </x:c>
      <x:c r="J330" s="107" t="str">
        <x:v>Critical</x:v>
      </x:c>
      <x:c r="K330" s="110" t="str">
        <x:v>Accessibility QA</x:v>
      </x:c>
      <x:c r="L330" s="110"/>
      <x:c r="M330" s="108" t="str">
        <x:v>No</x:v>
      </x:c>
      <x:c r="N330" s="108" t="str"/>
      <x:c r="O330" s="108" t="str">
        <x:v>V2 audit + best practice</x:v>
      </x:c>
      <x:c r="P330" s="108" t="str">
        <x:v>SRC-02</x:v>
      </x:c>
      <x:c r="Q330" s="108" t="str"/>
      <x:c r="R330" s="108" t="str">
        <x:v>19 — Accessibility</x:v>
      </x:c>
      <x:c r="S330" s="110" t="str">
        <x:v>ChatGPT prefill · 06 Oct 2026</x:v>
      </x:c>
    </x:row>
    <x:row r="331" ht="36" customHeight="1">
      <x:c r="A331" s="107" t="str">
        <x:v>V08</x:v>
      </x:c>
      <x:c r="B331" s="107" t="str">
        <x:v>Accessibility and inclusive design</x:v>
      </x:c>
      <x:c r="C331" s="107" t="str">
        <x:v>Brand decision</x:v>
      </x:c>
      <x:c r="D331" s="108" t="str">
        <x:v>Visible keyboard focus</x:v>
      </x:c>
      <x:c r="E331" s="108" t="str">
        <x:v>Mandatory</x:v>
      </x:c>
      <x:c r="F331" s="109" t="str">
        <x:v>Approve recommendation</x:v>
      </x:c>
      <x:c r="G331" s="110"/>
      <x:c r="H331" s="108" t="str">
        <x:f>IF(F331="Approve recommendation",E331,IF(F331="Modify / custom answer",G331,IF(F331="Reject","Rejected",IF(F331="Defer","Deferred",IF(F331="Needs evidence","Pending evidence","")))))</x:f>
        <x:v>Mandatory</x:v>
      </x:c>
      <x:c r="I331" s="107" t="str">
        <x:f>IF(F331="","Pending",IF(F331="Approve recommendation","Approved",IF(F331="Modify / custom answer",IF(G331="","Action Required","Approved with modification"),IF(F331="Reject","Rejected",IF(F331="Defer","Deferred",IF(F331="Needs evidence","Evidence Required","Pending"))))))</x:f>
        <x:v>Approved</x:v>
      </x:c>
      <x:c r="J331" s="107" t="str">
        <x:v>Critical</x:v>
      </x:c>
      <x:c r="K331" s="110" t="str">
        <x:v>Accessibility QA</x:v>
      </x:c>
      <x:c r="L331" s="110"/>
      <x:c r="M331" s="108" t="str">
        <x:v>No</x:v>
      </x:c>
      <x:c r="N331" s="108" t="str"/>
      <x:c r="O331" s="108" t="str">
        <x:v>V2 audit + best practice</x:v>
      </x:c>
      <x:c r="P331" s="108" t="str">
        <x:v>SRC-02</x:v>
      </x:c>
      <x:c r="Q331" s="108" t="str"/>
      <x:c r="R331" s="108" t="str">
        <x:v>19 — Accessibility</x:v>
      </x:c>
      <x:c r="S331" s="110" t="str">
        <x:v>ChatGPT prefill · 06 Oct 2026</x:v>
      </x:c>
    </x:row>
    <x:row r="332" ht="36" customHeight="1">
      <x:c r="A332" s="107" t="str">
        <x:v>V09</x:v>
      </x:c>
      <x:c r="B332" s="107" t="str">
        <x:v>Accessibility and inclusive design</x:v>
      </x:c>
      <x:c r="C332" s="107" t="str">
        <x:v>Brand decision</x:v>
      </x:c>
      <x:c r="D332" s="108" t="str">
        <x:v>Keyboard operability</x:v>
      </x:c>
      <x:c r="E332" s="108" t="str">
        <x:v>Mandatory</x:v>
      </x:c>
      <x:c r="F332" s="109" t="str">
        <x:v>Approve recommendation</x:v>
      </x:c>
      <x:c r="G332" s="110"/>
      <x:c r="H332" s="108" t="str">
        <x:f>IF(F332="Approve recommendation",E332,IF(F332="Modify / custom answer",G332,IF(F332="Reject","Rejected",IF(F332="Defer","Deferred",IF(F332="Needs evidence","Pending evidence","")))))</x:f>
        <x:v>Mandatory</x:v>
      </x:c>
      <x:c r="I332" s="107" t="str">
        <x:f>IF(F332="","Pending",IF(F332="Approve recommendation","Approved",IF(F332="Modify / custom answer",IF(G332="","Action Required","Approved with modification"),IF(F332="Reject","Rejected",IF(F332="Defer","Deferred",IF(F332="Needs evidence","Evidence Required","Pending"))))))</x:f>
        <x:v>Approved</x:v>
      </x:c>
      <x:c r="J332" s="107" t="str">
        <x:v>Critical</x:v>
      </x:c>
      <x:c r="K332" s="110" t="str">
        <x:v>Accessibility QA</x:v>
      </x:c>
      <x:c r="L332" s="110"/>
      <x:c r="M332" s="108" t="str">
        <x:v>No</x:v>
      </x:c>
      <x:c r="N332" s="108" t="str"/>
      <x:c r="O332" s="108" t="str">
        <x:v>V2 audit + best practice</x:v>
      </x:c>
      <x:c r="P332" s="108" t="str">
        <x:v>SRC-02</x:v>
      </x:c>
      <x:c r="Q332" s="108" t="str"/>
      <x:c r="R332" s="108" t="str">
        <x:v>19 — Accessibility</x:v>
      </x:c>
      <x:c r="S332" s="110" t="str">
        <x:v>ChatGPT prefill · 06 Oct 2026</x:v>
      </x:c>
    </x:row>
    <x:row r="333" ht="36" customHeight="1">
      <x:c r="A333" s="107" t="str">
        <x:v>V10</x:v>
      </x:c>
      <x:c r="B333" s="107" t="str">
        <x:v>Accessibility and inclusive design</x:v>
      </x:c>
      <x:c r="C333" s="107" t="str">
        <x:v>Decision + evidence</x:v>
      </x:c>
      <x:c r="D333" s="108" t="str">
        <x:v>Error states must use more than color alone</x:v>
      </x:c>
      <x:c r="E333" s="108" t="str">
        <x:v>Yes</x:v>
      </x:c>
      <x:c r="F333" s="109" t="str">
        <x:v>Approve recommendation</x:v>
      </x:c>
      <x:c r="G333" s="110"/>
      <x:c r="H333" s="108" t="str">
        <x:f>IF(F333="Approve recommendation",E333,IF(F333="Modify / custom answer",G333,IF(F333="Reject","Rejected",IF(F333="Defer","Deferred",IF(F333="Needs evidence","Pending evidence","")))))</x:f>
        <x:v>Yes</x:v>
      </x:c>
      <x:c r="I333" s="107" t="str">
        <x:f>IF(F333="","Pending",IF(F333="Approve recommendation","Approved",IF(F333="Modify / custom answer",IF(G333="","Action Required","Approved with modification"),IF(F333="Reject","Rejected",IF(F333="Defer","Deferred",IF(F333="Needs evidence","Evidence Required","Pending"))))))</x:f>
        <x:v>Approved</x:v>
      </x:c>
      <x:c r="J333" s="107" t="str">
        <x:v>Critical</x:v>
      </x:c>
      <x:c r="K333" s="110" t="str">
        <x:v>Accessibility QA</x:v>
      </x:c>
      <x:c r="L333" s="110"/>
      <x:c r="M333" s="108" t="str">
        <x:v>No</x:v>
      </x:c>
      <x:c r="N333" s="108" t="str"/>
      <x:c r="O333" s="108" t="str">
        <x:v>V2 audit + best practice</x:v>
      </x:c>
      <x:c r="P333" s="108" t="str">
        <x:v>SRC-02</x:v>
      </x:c>
      <x:c r="Q333" s="108" t="str"/>
      <x:c r="R333" s="108" t="str">
        <x:v>19 — Accessibility</x:v>
      </x:c>
      <x:c r="S333" s="110" t="str">
        <x:v>ChatGPT prefill · 06 Oct 2026</x:v>
      </x:c>
    </x:row>
    <x:row r="334" ht="36" customHeight="1">
      <x:c r="A334" s="107" t="str">
        <x:v>V11</x:v>
      </x:c>
      <x:c r="B334" s="107" t="str">
        <x:v>Accessibility and inclusive design</x:v>
      </x:c>
      <x:c r="C334" s="107" t="str">
        <x:v>Brand decision</x:v>
      </x:c>
      <x:c r="D334" s="108" t="str">
        <x:v>Reduced motion</x:v>
      </x:c>
      <x:c r="E334" s="108" t="str">
        <x:v>Mandatory</x:v>
      </x:c>
      <x:c r="F334" s="109" t="str">
        <x:v>Approve recommendation</x:v>
      </x:c>
      <x:c r="G334" s="110"/>
      <x:c r="H334" s="108" t="str">
        <x:f>IF(F334="Approve recommendation",E334,IF(F334="Modify / custom answer",G334,IF(F334="Reject","Rejected",IF(F334="Defer","Deferred",IF(F334="Needs evidence","Pending evidence","")))))</x:f>
        <x:v>Mandatory</x:v>
      </x:c>
      <x:c r="I334" s="107" t="str">
        <x:f>IF(F334="","Pending",IF(F334="Approve recommendation","Approved",IF(F334="Modify / custom answer",IF(G334="","Action Required","Approved with modification"),IF(F334="Reject","Rejected",IF(F334="Defer","Deferred",IF(F334="Needs evidence","Evidence Required","Pending"))))))</x:f>
        <x:v>Approved</x:v>
      </x:c>
      <x:c r="J334" s="107" t="str">
        <x:v>Critical</x:v>
      </x:c>
      <x:c r="K334" s="110" t="str">
        <x:v>Accessibility QA</x:v>
      </x:c>
      <x:c r="L334" s="110"/>
      <x:c r="M334" s="108" t="str">
        <x:v>No</x:v>
      </x:c>
      <x:c r="N334" s="108" t="str"/>
      <x:c r="O334" s="108" t="str">
        <x:v>V2 audit + best practice</x:v>
      </x:c>
      <x:c r="P334" s="108" t="str">
        <x:v>SRC-02</x:v>
      </x:c>
      <x:c r="Q334" s="108" t="str"/>
      <x:c r="R334" s="108" t="str">
        <x:v>19 — Accessibility</x:v>
      </x:c>
      <x:c r="S334" s="110" t="str">
        <x:v>ChatGPT prefill · 06 Oct 2026</x:v>
      </x:c>
    </x:row>
    <x:row r="335" ht="36" customHeight="1">
      <x:c r="A335" s="107" t="str">
        <x:v>V12</x:v>
      </x:c>
      <x:c r="B335" s="107" t="str">
        <x:v>Accessibility and inclusive design</x:v>
      </x:c>
      <x:c r="C335" s="107" t="str">
        <x:v>Brand decision</x:v>
      </x:c>
      <x:c r="D335" s="108" t="str">
        <x:v>Touch-target minimum standard</x:v>
      </x:c>
      <x:c r="E335" s="108" t="str">
        <x:v>Define in digital specification</x:v>
      </x:c>
      <x:c r="F335" s="109" t="str">
        <x:v>Approve recommendation</x:v>
      </x:c>
      <x:c r="G335" s="110"/>
      <x:c r="H335" s="108" t="str">
        <x:f>IF(F335="Approve recommendation",E335,IF(F335="Modify / custom answer",G335,IF(F335="Reject","Rejected",IF(F335="Defer","Deferred",IF(F335="Needs evidence","Pending evidence","")))))</x:f>
        <x:v>Define in digital specification</x:v>
      </x:c>
      <x:c r="I335" s="107" t="str">
        <x:f>IF(F335="","Pending",IF(F335="Approve recommendation","Approved",IF(F335="Modify / custom answer",IF(G335="","Action Required","Approved with modification"),IF(F335="Reject","Rejected",IF(F335="Defer","Deferred",IF(F335="Needs evidence","Evidence Required","Pending"))))))</x:f>
        <x:v>Approved</x:v>
      </x:c>
      <x:c r="J335" s="107" t="str">
        <x:v>Critical</x:v>
      </x:c>
      <x:c r="K335" s="110" t="str">
        <x:v>Accessibility QA</x:v>
      </x:c>
      <x:c r="L335" s="110"/>
      <x:c r="M335" s="108" t="str">
        <x:v>No</x:v>
      </x:c>
      <x:c r="N335" s="108" t="str"/>
      <x:c r="O335" s="108" t="str">
        <x:v>V2 audit + best practice</x:v>
      </x:c>
      <x:c r="P335" s="108" t="str">
        <x:v>SRC-02</x:v>
      </x:c>
      <x:c r="Q335" s="108" t="str"/>
      <x:c r="R335" s="108" t="str">
        <x:v>19 — Accessibility</x:v>
      </x:c>
      <x:c r="S335" s="110" t="str">
        <x:v>ChatGPT prefill · 06 Oct 2026</x:v>
      </x:c>
    </x:row>
    <x:row r="336" ht="36" customHeight="1">
      <x:c r="A336" s="107" t="str">
        <x:v>V13</x:v>
      </x:c>
      <x:c r="B336" s="107" t="str">
        <x:v>Accessibility and inclusive design</x:v>
      </x:c>
      <x:c r="C336" s="107" t="str">
        <x:v>Decision + evidence</x:v>
      </x:c>
      <x:c r="D336" s="108" t="str">
        <x:v>PDF accessibility/tagging</x:v>
      </x:c>
      <x:c r="E336" s="108" t="str">
        <x:v>Required for official accessible publications</x:v>
      </x:c>
      <x:c r="F336" s="109" t="str">
        <x:v>Approve recommendation</x:v>
      </x:c>
      <x:c r="G336" s="110"/>
      <x:c r="H336" s="108" t="str">
        <x:f>IF(F336="Approve recommendation",E336,IF(F336="Modify / custom answer",G336,IF(F336="Reject","Rejected",IF(F336="Defer","Deferred",IF(F336="Needs evidence","Pending evidence","")))))</x:f>
        <x:v>Required for official accessible publications</x:v>
      </x:c>
      <x:c r="I336" s="107" t="str">
        <x:f>IF(F336="","Pending",IF(F336="Approve recommendation","Approved",IF(F336="Modify / custom answer",IF(G336="","Action Required","Approved with modification"),IF(F336="Reject","Rejected",IF(F336="Defer","Deferred",IF(F336="Needs evidence","Evidence Required","Pending"))))))</x:f>
        <x:v>Approved</x:v>
      </x:c>
      <x:c r="J336" s="107" t="str">
        <x:v>Critical</x:v>
      </x:c>
      <x:c r="K336" s="110" t="str">
        <x:v>Accessibility QA</x:v>
      </x:c>
      <x:c r="L336" s="110"/>
      <x:c r="M336" s="108" t="str">
        <x:v>Yes</x:v>
      </x:c>
      <x:c r="N336" s="108" t="str"/>
      <x:c r="O336" s="108" t="str">
        <x:v>V2 audit + best practice</x:v>
      </x:c>
      <x:c r="P336" s="108" t="str">
        <x:v>SRC-02</x:v>
      </x:c>
      <x:c r="Q336" s="108" t="str"/>
      <x:c r="R336" s="108" t="str">
        <x:v>19 — Accessibility</x:v>
      </x:c>
      <x:c r="S336" s="110" t="str">
        <x:v>ChatGPT prefill · 06 Oct 2026</x:v>
      </x:c>
    </x:row>
    <x:row r="337" ht="36" customHeight="1">
      <x:c r="A337" s="107" t="str">
        <x:v>V14</x:v>
      </x:c>
      <x:c r="B337" s="107" t="str">
        <x:v>Accessibility and inclusive design</x:v>
      </x:c>
      <x:c r="C337" s="107" t="str">
        <x:v>Decision + evidence</x:v>
      </x:c>
      <x:c r="D337" s="108" t="str">
        <x:v>Arabic screen-reader/reading-order QA</x:v>
      </x:c>
      <x:c r="E337" s="108" t="str">
        <x:v>Required</x:v>
      </x:c>
      <x:c r="F337" s="109" t="str">
        <x:v>Approve recommendation</x:v>
      </x:c>
      <x:c r="G337" s="110"/>
      <x:c r="H337" s="108" t="str">
        <x:f>IF(F337="Approve recommendation",E337,IF(F337="Modify / custom answer",G337,IF(F337="Reject","Rejected",IF(F337="Defer","Deferred",IF(F337="Needs evidence","Pending evidence","")))))</x:f>
        <x:v>Required</x:v>
      </x:c>
      <x:c r="I337" s="107" t="str">
        <x:f>IF(F337="","Pending",IF(F337="Approve recommendation","Approved",IF(F337="Modify / custom answer",IF(G337="","Action Required","Approved with modification"),IF(F337="Reject","Rejected",IF(F337="Defer","Deferred",IF(F337="Needs evidence","Evidence Required","Pending"))))))</x:f>
        <x:v>Approved</x:v>
      </x:c>
      <x:c r="J337" s="107" t="str">
        <x:v>Critical</x:v>
      </x:c>
      <x:c r="K337" s="110" t="str">
        <x:v>Accessibility QA</x:v>
      </x:c>
      <x:c r="L337" s="110"/>
      <x:c r="M337" s="108" t="str">
        <x:v>Yes</x:v>
      </x:c>
      <x:c r="N337" s="108" t="str"/>
      <x:c r="O337" s="108" t="str">
        <x:v>V2 audit + best practice</x:v>
      </x:c>
      <x:c r="P337" s="108" t="str">
        <x:v>SRC-02</x:v>
      </x:c>
      <x:c r="Q337" s="108" t="str"/>
      <x:c r="R337" s="108" t="str">
        <x:v>19 — Accessibility</x:v>
      </x:c>
      <x:c r="S337" s="110" t="str">
        <x:v>ChatGPT prefill · 06 Oct 2026</x:v>
      </x:c>
    </x:row>
    <x:row r="338" ht="36" customHeight="1">
      <x:c r="A338" s="107" t="str">
        <x:v>V15</x:v>
      </x:c>
      <x:c r="B338" s="107" t="str">
        <x:v>Accessibility and inclusive design</x:v>
      </x:c>
      <x:c r="C338" s="107" t="str">
        <x:v>Decision + evidence</x:v>
      </x:c>
      <x:c r="D338" s="108" t="str">
        <x:v>Physical signage legibility testing</x:v>
      </x:c>
      <x:c r="E338" s="108" t="str">
        <x:v>Required</x:v>
      </x:c>
      <x:c r="F338" s="109" t="str">
        <x:v>Approve recommendation</x:v>
      </x:c>
      <x:c r="G338" s="110"/>
      <x:c r="H338" s="108" t="str">
        <x:f>IF(F338="Approve recommendation",E338,IF(F338="Modify / custom answer",G338,IF(F338="Reject","Rejected",IF(F338="Defer","Deferred",IF(F338="Needs evidence","Pending evidence","")))))</x:f>
        <x:v>Required</x:v>
      </x:c>
      <x:c r="I338" s="107" t="str">
        <x:f>IF(F338="","Pending",IF(F338="Approve recommendation","Approved",IF(F338="Modify / custom answer",IF(G338="","Action Required","Approved with modification"),IF(F338="Reject","Rejected",IF(F338="Defer","Deferred",IF(F338="Needs evidence","Evidence Required","Pending"))))))</x:f>
        <x:v>Approved</x:v>
      </x:c>
      <x:c r="J338" s="107" t="str">
        <x:v>Critical</x:v>
      </x:c>
      <x:c r="K338" s="110" t="str">
        <x:v>Accessibility QA</x:v>
      </x:c>
      <x:c r="L338" s="110"/>
      <x:c r="M338" s="108" t="str">
        <x:v>Yes</x:v>
      </x:c>
      <x:c r="N338" s="108" t="str"/>
      <x:c r="O338" s="108" t="str">
        <x:v>V2 audit + best practice</x:v>
      </x:c>
      <x:c r="P338" s="108" t="str">
        <x:v>SRC-02</x:v>
      </x:c>
      <x:c r="Q338" s="108" t="str"/>
      <x:c r="R338" s="108" t="str">
        <x:v>19 — Accessibility</x:v>
      </x:c>
      <x:c r="S338" s="110" t="str">
        <x:v>ChatGPT prefill · 06 Oct 2026</x:v>
      </x:c>
    </x:row>
    <x:row r="339" ht="36" customHeight="1">
      <x:c r="A339" s="107" t="str">
        <x:v>W01</x:v>
      </x:c>
      <x:c r="B339" s="107" t="str">
        <x:v>Templates and working files</x:v>
      </x:c>
      <x:c r="C339" s="107" t="str">
        <x:v>Scope / deliverable</x:v>
      </x:c>
      <x:c r="D339" s="108" t="str">
        <x:v>Include PowerPoint presentation master in final system?</x:v>
      </x:c>
      <x:c r="E339" s="108" t="str">
        <x:v>Yes</x:v>
      </x:c>
      <x:c r="F339" s="109" t="str">
        <x:v>Approve recommendation</x:v>
      </x:c>
      <x:c r="G339" s="110"/>
      <x:c r="H339" s="108" t="str">
        <x:f>IF(F339="Approve recommendation",E339,IF(F339="Modify / custom answer",G339,IF(F339="Reject","Rejected",IF(F339="Defer","Deferred",IF(F339="Needs evidence","Pending evidence","")))))</x:f>
        <x:v>Yes</x:v>
      </x:c>
      <x:c r="I339" s="107" t="str">
        <x:f>IF(F339="","Pending",IF(F339="Approve recommendation","Approved",IF(F339="Modify / custom answer",IF(G339="","Action Required","Approved with modification"),IF(F339="Reject","Rejected",IF(F339="Defer","Deferred",IF(F339="Needs evidence","Evidence Required","Pending"))))))</x:f>
        <x:v>Approved</x:v>
      </x:c>
      <x:c r="J339" s="107" t="str">
        <x:v>High</x:v>
      </x:c>
      <x:c r="K339" s="110" t="str">
        <x:v>Design Custodian + Presentation / Document QA</x:v>
      </x:c>
      <x:c r="L339" s="110"/>
      <x:c r="M339" s="108" t="str">
        <x:v>No</x:v>
      </x:c>
      <x:c r="N339" s="108" t="str"/>
      <x:c r="O339" s="108" t="str">
        <x:v>V2 audit</x:v>
      </x:c>
      <x:c r="P339" s="108" t="str">
        <x:v>SRC-02</x:v>
      </x:c>
      <x:c r="Q339" s="108" t="str"/>
      <x:c r="R339" s="108" t="str">
        <x:v>20 — Templates &amp; Asset Library</x:v>
      </x:c>
      <x:c r="S339" s="110" t="str">
        <x:v>ChatGPT prefill · 06 Oct 2026</x:v>
      </x:c>
    </x:row>
    <x:row r="340" ht="36" customHeight="1">
      <x:c r="A340" s="107" t="str">
        <x:v>W02</x:v>
      </x:c>
      <x:c r="B340" s="107" t="str">
        <x:v>Templates and working files</x:v>
      </x:c>
      <x:c r="C340" s="107" t="str">
        <x:v>Scope / deliverable</x:v>
      </x:c>
      <x:c r="D340" s="108" t="str">
        <x:v>Include Google Slides template in final system?</x:v>
      </x:c>
      <x:c r="E340" s="108" t="str">
        <x:v>Recommended</x:v>
      </x:c>
      <x:c r="F340" s="109" t="str">
        <x:v>Modify / custom answer</x:v>
      </x:c>
      <x:c r="G340" s="110" t="str">
        <x:v>Yes — include a Google Slides derivative after the approved PowerPoint master is locked, preserving the same hierarchy and accessibility behavior.</x:v>
      </x:c>
      <x:c r="H340" s="108" t="str">
        <x:f>IF(F340="Approve recommendation",E340,IF(F340="Modify / custom answer",G340,IF(F340="Reject","Rejected",IF(F340="Defer","Deferred",IF(F340="Needs evidence","Pending evidence","")))))</x:f>
        <x:v>Yes — include a Google Slides derivative after the approved PowerPoint master is locked, preserving the same hierarchy and accessibility behavior.</x:v>
      </x:c>
      <x:c r="I340" s="107" t="str">
        <x:f>IF(F340="","Pending",IF(F340="Approve recommendation","Approved",IF(F340="Modify / custom answer",IF(G340="","Action Required","Approved with modification"),IF(F340="Reject","Rejected",IF(F340="Defer","Deferred",IF(F340="Needs evidence","Evidence Required","Pending"))))))</x:f>
        <x:v>Approved with modification</x:v>
      </x:c>
      <x:c r="J340" s="107" t="str">
        <x:v>High</x:v>
      </x:c>
      <x:c r="K340" s="110" t="str">
        <x:v>Design Custodian + Presentation / Document QA</x:v>
      </x:c>
      <x:c r="L340" s="110" t="str">
        <x:v>Approved as the V3.0 consultant recommendation, grounded in the current GEM source system and best-practice review.</x:v>
      </x:c>
      <x:c r="M340" s="108" t="str">
        <x:v>No</x:v>
      </x:c>
      <x:c r="N340" s="108" t="str"/>
      <x:c r="O340" s="108" t="str">
        <x:v>V2 audit</x:v>
      </x:c>
      <x:c r="P340" s="108" t="str">
        <x:v>SRC-02</x:v>
      </x:c>
      <x:c r="Q340" s="108" t="str"/>
      <x:c r="R340" s="108" t="str">
        <x:v>20 — Templates &amp; Asset Library</x:v>
      </x:c>
      <x:c r="S340" s="110" t="str">
        <x:v>ChatGPT prefill · 06 Oct 2026</x:v>
      </x:c>
    </x:row>
    <x:row r="341" ht="36" customHeight="1">
      <x:c r="A341" s="107" t="str">
        <x:v>W03</x:v>
      </x:c>
      <x:c r="B341" s="107" t="str">
        <x:v>Templates and working files</x:v>
      </x:c>
      <x:c r="C341" s="107" t="str">
        <x:v>Scope / deliverable</x:v>
      </x:c>
      <x:c r="D341" s="108" t="str">
        <x:v>Include Word/Google Docs letterhead in final system?</x:v>
      </x:c>
      <x:c r="E341" s="108" t="str">
        <x:v>Yes</x:v>
      </x:c>
      <x:c r="F341" s="109" t="str">
        <x:v>Approve recommendation</x:v>
      </x:c>
      <x:c r="G341" s="110"/>
      <x:c r="H341" s="108" t="str">
        <x:f>IF(F341="Approve recommendation",E341,IF(F341="Modify / custom answer",G341,IF(F341="Reject","Rejected",IF(F341="Defer","Deferred",IF(F341="Needs evidence","Pending evidence","")))))</x:f>
        <x:v>Yes</x:v>
      </x:c>
      <x:c r="I341" s="107" t="str">
        <x:f>IF(F341="","Pending",IF(F341="Approve recommendation","Approved",IF(F341="Modify / custom answer",IF(G341="","Action Required","Approved with modification"),IF(F341="Reject","Rejected",IF(F341="Defer","Deferred",IF(F341="Needs evidence","Evidence Required","Pending"))))))</x:f>
        <x:v>Approved</x:v>
      </x:c>
      <x:c r="J341" s="107" t="str">
        <x:v>High</x:v>
      </x:c>
      <x:c r="K341" s="110" t="str">
        <x:v>Design Custodian + Presentation / Document QA</x:v>
      </x:c>
      <x:c r="L341" s="110"/>
      <x:c r="M341" s="108" t="str">
        <x:v>No</x:v>
      </x:c>
      <x:c r="N341" s="108" t="str"/>
      <x:c r="O341" s="108" t="str">
        <x:v>V2 audit</x:v>
      </x:c>
      <x:c r="P341" s="108" t="str">
        <x:v>SRC-02</x:v>
      </x:c>
      <x:c r="Q341" s="108" t="str"/>
      <x:c r="R341" s="108" t="str">
        <x:v>20 — Templates &amp; Asset Library</x:v>
      </x:c>
      <x:c r="S341" s="110" t="str">
        <x:v>ChatGPT prefill · 06 Oct 2026</x:v>
      </x:c>
    </x:row>
    <x:row r="342" ht="36" customHeight="1">
      <x:c r="A342" s="107" t="str">
        <x:v>W04</x:v>
      </x:c>
      <x:c r="B342" s="107" t="str">
        <x:v>Templates and working files</x:v>
      </x:c>
      <x:c r="C342" s="107" t="str">
        <x:v>Scope / deliverable</x:v>
      </x:c>
      <x:c r="D342" s="108" t="str">
        <x:v>Include proposal template in final system?</x:v>
      </x:c>
      <x:c r="E342" s="108" t="str">
        <x:v>Yes</x:v>
      </x:c>
      <x:c r="F342" s="109" t="str">
        <x:v>Approve recommendation</x:v>
      </x:c>
      <x:c r="G342" s="110"/>
      <x:c r="H342" s="108" t="str">
        <x:f>IF(F342="Approve recommendation",E342,IF(F342="Modify / custom answer",G342,IF(F342="Reject","Rejected",IF(F342="Defer","Deferred",IF(F342="Needs evidence","Pending evidence","")))))</x:f>
        <x:v>Yes</x:v>
      </x:c>
      <x:c r="I342" s="107" t="str">
        <x:f>IF(F342="","Pending",IF(F342="Approve recommendation","Approved",IF(F342="Modify / custom answer",IF(G342="","Action Required","Approved with modification"),IF(F342="Reject","Rejected",IF(F342="Defer","Deferred",IF(F342="Needs evidence","Evidence Required","Pending"))))))</x:f>
        <x:v>Approved</x:v>
      </x:c>
      <x:c r="J342" s="107" t="str">
        <x:v>High</x:v>
      </x:c>
      <x:c r="K342" s="110" t="str">
        <x:v>Design Custodian + Presentation / Document QA</x:v>
      </x:c>
      <x:c r="L342" s="110"/>
      <x:c r="M342" s="108" t="str">
        <x:v>No</x:v>
      </x:c>
      <x:c r="N342" s="108" t="str"/>
      <x:c r="O342" s="108" t="str">
        <x:v>V2 audit</x:v>
      </x:c>
      <x:c r="P342" s="108" t="str">
        <x:v>SRC-02</x:v>
      </x:c>
      <x:c r="Q342" s="108" t="str"/>
      <x:c r="R342" s="108" t="str">
        <x:v>20 — Templates &amp; Asset Library</x:v>
      </x:c>
      <x:c r="S342" s="110" t="str">
        <x:v>ChatGPT prefill · 06 Oct 2026</x:v>
      </x:c>
    </x:row>
    <x:row r="343" ht="36" customHeight="1">
      <x:c r="A343" s="107" t="str">
        <x:v>W05</x:v>
      </x:c>
      <x:c r="B343" s="107" t="str">
        <x:v>Templates and working files</x:v>
      </x:c>
      <x:c r="C343" s="107" t="str">
        <x:v>Scope / deliverable</x:v>
      </x:c>
      <x:c r="D343" s="108" t="str">
        <x:v>Include product specification sheet in final system?</x:v>
      </x:c>
      <x:c r="E343" s="108" t="str">
        <x:v>Yes</x:v>
      </x:c>
      <x:c r="F343" s="109" t="str">
        <x:v>Approve recommendation</x:v>
      </x:c>
      <x:c r="G343" s="110"/>
      <x:c r="H343" s="108" t="str">
        <x:f>IF(F343="Approve recommendation",E343,IF(F343="Modify / custom answer",G343,IF(F343="Reject","Rejected",IF(F343="Defer","Deferred",IF(F343="Needs evidence","Pending evidence","")))))</x:f>
        <x:v>Yes</x:v>
      </x:c>
      <x:c r="I343" s="107" t="str">
        <x:f>IF(F343="","Pending",IF(F343="Approve recommendation","Approved",IF(F343="Modify / custom answer",IF(G343="","Action Required","Approved with modification"),IF(F343="Reject","Rejected",IF(F343="Defer","Deferred",IF(F343="Needs evidence","Evidence Required","Pending"))))))</x:f>
        <x:v>Approved</x:v>
      </x:c>
      <x:c r="J343" s="107" t="str">
        <x:v>High</x:v>
      </x:c>
      <x:c r="K343" s="110" t="str">
        <x:v>Design Custodian + Presentation / Document QA</x:v>
      </x:c>
      <x:c r="L343" s="110"/>
      <x:c r="M343" s="108" t="str">
        <x:v>No</x:v>
      </x:c>
      <x:c r="N343" s="108" t="str"/>
      <x:c r="O343" s="108" t="str">
        <x:v>V2 audit</x:v>
      </x:c>
      <x:c r="P343" s="108" t="str">
        <x:v>SRC-02</x:v>
      </x:c>
      <x:c r="Q343" s="108" t="str"/>
      <x:c r="R343" s="108" t="str">
        <x:v>20 — Templates &amp; Asset Library</x:v>
      </x:c>
      <x:c r="S343" s="110" t="str">
        <x:v>ChatGPT prefill · 06 Oct 2026</x:v>
      </x:c>
    </x:row>
    <x:row r="344" ht="36" customHeight="1">
      <x:c r="A344" s="107" t="str">
        <x:v>W06</x:v>
      </x:c>
      <x:c r="B344" s="107" t="str">
        <x:v>Templates and working files</x:v>
      </x:c>
      <x:c r="C344" s="107" t="str">
        <x:v>Scope / deliverable</x:v>
      </x:c>
      <x:c r="D344" s="108" t="str">
        <x:v>Include packaging artwork template in final system?</x:v>
      </x:c>
      <x:c r="E344" s="108" t="str">
        <x:v>Yes</x:v>
      </x:c>
      <x:c r="F344" s="109" t="str">
        <x:v>Approve recommendation</x:v>
      </x:c>
      <x:c r="G344" s="110"/>
      <x:c r="H344" s="108" t="str">
        <x:f>IF(F344="Approve recommendation",E344,IF(F344="Modify / custom answer",G344,IF(F344="Reject","Rejected",IF(F344="Defer","Deferred",IF(F344="Needs evidence","Pending evidence","")))))</x:f>
        <x:v>Yes</x:v>
      </x:c>
      <x:c r="I344" s="107" t="str">
        <x:f>IF(F344="","Pending",IF(F344="Approve recommendation","Approved",IF(F344="Modify / custom answer",IF(G344="","Action Required","Approved with modification"),IF(F344="Reject","Rejected",IF(F344="Defer","Deferred",IF(F344="Needs evidence","Evidence Required","Pending"))))))</x:f>
        <x:v>Approved</x:v>
      </x:c>
      <x:c r="J344" s="107" t="str">
        <x:v>High</x:v>
      </x:c>
      <x:c r="K344" s="110" t="str">
        <x:v>Design Custodian + Presentation / Document QA</x:v>
      </x:c>
      <x:c r="L344" s="110"/>
      <x:c r="M344" s="108" t="str">
        <x:v>No</x:v>
      </x:c>
      <x:c r="N344" s="108" t="str"/>
      <x:c r="O344" s="108" t="str">
        <x:v>V2 audit</x:v>
      </x:c>
      <x:c r="P344" s="108" t="str">
        <x:v>SRC-02</x:v>
      </x:c>
      <x:c r="Q344" s="108" t="str"/>
      <x:c r="R344" s="108" t="str">
        <x:v>20 — Templates &amp; Asset Library</x:v>
      </x:c>
      <x:c r="S344" s="110" t="str">
        <x:v>ChatGPT prefill · 06 Oct 2026</x:v>
      </x:c>
    </x:row>
    <x:row r="345" ht="36" customHeight="1">
      <x:c r="A345" s="107" t="str">
        <x:v>W07</x:v>
      </x:c>
      <x:c r="B345" s="107" t="str">
        <x:v>Templates and working files</x:v>
      </x:c>
      <x:c r="C345" s="107" t="str">
        <x:v>Scope / deliverable</x:v>
      </x:c>
      <x:c r="D345" s="108" t="str">
        <x:v>Include social templates in final system?</x:v>
      </x:c>
      <x:c r="E345" s="108" t="str">
        <x:v>Yes if social is active</x:v>
      </x:c>
      <x:c r="F345" s="109" t="str">
        <x:v>Modify / custom answer</x:v>
      </x:c>
      <x:c r="G345" s="110" t="str">
        <x:v>Yes — include a minimal social starter set for core ratios (1:1, 4:5, 9:16, 16:9), even if social is not the primary launch channel.</x:v>
      </x:c>
      <x:c r="H345" s="108" t="str">
        <x:f>IF(F345="Approve recommendation",E345,IF(F345="Modify / custom answer",G345,IF(F345="Reject","Rejected",IF(F345="Defer","Deferred",IF(F345="Needs evidence","Pending evidence","")))))</x:f>
        <x:v>Yes — include a minimal social starter set for core ratios (1:1, 4:5, 9:16, 16:9), even if social is not the primary launch channel.</x:v>
      </x:c>
      <x:c r="I345" s="107" t="str">
        <x:f>IF(F345="","Pending",IF(F345="Approve recommendation","Approved",IF(F345="Modify / custom answer",IF(G345="","Action Required","Approved with modification"),IF(F345="Reject","Rejected",IF(F345="Defer","Deferred",IF(F345="Needs evidence","Evidence Required","Pending"))))))</x:f>
        <x:v>Approved with modification</x:v>
      </x:c>
      <x:c r="J345" s="107" t="str">
        <x:v>High</x:v>
      </x:c>
      <x:c r="K345" s="110" t="str">
        <x:v>Design Custodian + Presentation / Document QA</x:v>
      </x:c>
      <x:c r="L345" s="110" t="str">
        <x:v>Approved as the V3.0 consultant recommendation, grounded in the current GEM source system and best-practice review.</x:v>
      </x:c>
      <x:c r="M345" s="108" t="str">
        <x:v>No</x:v>
      </x:c>
      <x:c r="N345" s="108" t="str"/>
      <x:c r="O345" s="108" t="str">
        <x:v>V2 audit</x:v>
      </x:c>
      <x:c r="P345" s="108" t="str">
        <x:v>SRC-02</x:v>
      </x:c>
      <x:c r="Q345" s="108" t="str"/>
      <x:c r="R345" s="108" t="str">
        <x:v>20 — Templates &amp; Asset Library</x:v>
      </x:c>
      <x:c r="S345" s="110" t="str">
        <x:v>ChatGPT prefill · 06 Oct 2026</x:v>
      </x:c>
    </x:row>
    <x:row r="346" ht="36" customHeight="1">
      <x:c r="A346" s="107" t="str">
        <x:v>W08</x:v>
      </x:c>
      <x:c r="B346" s="107" t="str">
        <x:v>Templates and working files</x:v>
      </x:c>
      <x:c r="C346" s="107" t="str">
        <x:v>Scope / deliverable</x:v>
      </x:c>
      <x:c r="D346" s="108" t="str">
        <x:v>Include email signature in final system?</x:v>
      </x:c>
      <x:c r="E346" s="108" t="str">
        <x:v>Yes</x:v>
      </x:c>
      <x:c r="F346" s="109" t="str">
        <x:v>Approve recommendation</x:v>
      </x:c>
      <x:c r="G346" s="110"/>
      <x:c r="H346" s="108" t="str">
        <x:f>IF(F346="Approve recommendation",E346,IF(F346="Modify / custom answer",G346,IF(F346="Reject","Rejected",IF(F346="Defer","Deferred",IF(F346="Needs evidence","Pending evidence","")))))</x:f>
        <x:v>Yes</x:v>
      </x:c>
      <x:c r="I346" s="107" t="str">
        <x:f>IF(F346="","Pending",IF(F346="Approve recommendation","Approved",IF(F346="Modify / custom answer",IF(G346="","Action Required","Approved with modification"),IF(F346="Reject","Rejected",IF(F346="Defer","Deferred",IF(F346="Needs evidence","Evidence Required","Pending"))))))</x:f>
        <x:v>Approved</x:v>
      </x:c>
      <x:c r="J346" s="107" t="str">
        <x:v>High</x:v>
      </x:c>
      <x:c r="K346" s="110" t="str">
        <x:v>Design Custodian + Presentation / Document QA</x:v>
      </x:c>
      <x:c r="L346" s="110"/>
      <x:c r="M346" s="108" t="str">
        <x:v>No</x:v>
      </x:c>
      <x:c r="N346" s="108" t="str"/>
      <x:c r="O346" s="108" t="str">
        <x:v>V2 audit</x:v>
      </x:c>
      <x:c r="P346" s="108" t="str">
        <x:v>SRC-02</x:v>
      </x:c>
      <x:c r="Q346" s="108" t="str"/>
      <x:c r="R346" s="108" t="str">
        <x:v>20 — Templates &amp; Asset Library</x:v>
      </x:c>
      <x:c r="S346" s="110" t="str">
        <x:v>ChatGPT prefill · 06 Oct 2026</x:v>
      </x:c>
    </x:row>
    <x:row r="347" ht="36" customHeight="1">
      <x:c r="A347" s="107" t="str">
        <x:v>W09</x:v>
      </x:c>
      <x:c r="B347" s="107" t="str">
        <x:v>Templates and working files</x:v>
      </x:c>
      <x:c r="C347" s="107" t="str">
        <x:v>Decision + evidence</x:v>
      </x:c>
      <x:c r="D347" s="108" t="str">
        <x:v>Include business card in final system?</x:v>
      </x:c>
      <x:c r="E347" s="108" t="str">
        <x:v>Yes if required</x:v>
      </x:c>
      <x:c r="F347" s="109" t="str">
        <x:v>Modify / custom answer</x:v>
      </x:c>
      <x:c r="G347" s="110" t="str">
        <x:v>Yes — include one minimal corporate business-card standard where physical cards are still used.</x:v>
      </x:c>
      <x:c r="H347" s="108" t="str">
        <x:f>IF(F347="Approve recommendation",E347,IF(F347="Modify / custom answer",G347,IF(F347="Reject","Rejected",IF(F347="Defer","Deferred",IF(F347="Needs evidence","Pending evidence","")))))</x:f>
        <x:v>Yes — include one minimal corporate business-card standard where physical cards are still used.</x:v>
      </x:c>
      <x:c r="I347" s="107" t="str">
        <x:f>IF(F347="","Pending",IF(F347="Approve recommendation","Approved",IF(F347="Modify / custom answer",IF(G347="","Action Required","Approved with modification"),IF(F347="Reject","Rejected",IF(F347="Defer","Deferred",IF(F347="Needs evidence","Evidence Required","Pending"))))))</x:f>
        <x:v>Approved with modification</x:v>
      </x:c>
      <x:c r="J347" s="107" t="str">
        <x:v>High</x:v>
      </x:c>
      <x:c r="K347" s="110" t="str">
        <x:v>Design Custodian + Presentation / Document QA</x:v>
      </x:c>
      <x:c r="L347" s="110" t="str">
        <x:v>Approved as the V3.0 consultant recommendation, grounded in the current GEM source system and best-practice review.</x:v>
      </x:c>
      <x:c r="M347" s="108" t="str">
        <x:v>No</x:v>
      </x:c>
      <x:c r="N347" s="108" t="str"/>
      <x:c r="O347" s="108" t="str">
        <x:v>V2 audit</x:v>
      </x:c>
      <x:c r="P347" s="108" t="str">
        <x:v>SRC-02</x:v>
      </x:c>
      <x:c r="Q347" s="108" t="str"/>
      <x:c r="R347" s="108" t="str">
        <x:v>20 — Templates &amp; Asset Library</x:v>
      </x:c>
      <x:c r="S347" s="110" t="str">
        <x:v>ChatGPT prefill · 06 Oct 2026</x:v>
      </x:c>
    </x:row>
    <x:row r="348" ht="36" customHeight="1">
      <x:c r="A348" s="107" t="str">
        <x:v>W10</x:v>
      </x:c>
      <x:c r="B348" s="107" t="str">
        <x:v>Templates and working files</x:v>
      </x:c>
      <x:c r="C348" s="107" t="str">
        <x:v>Scope / deliverable</x:v>
      </x:c>
      <x:c r="D348" s="108" t="str">
        <x:v>Include invoice/quotation format in final system?</x:v>
      </x:c>
      <x:c r="E348" s="108" t="str">
        <x:v>If commercially relevant</x:v>
      </x:c>
      <x:c r="F348" s="109" t="str">
        <x:v>Modify / custom answer</x:v>
      </x:c>
      <x:c r="G348" s="110" t="str">
        <x:v>Yes — include quotation/invoice formats because the B2B Amenities &amp; Packaging stream is in scope; legal/tax fields remain market-specific.</x:v>
      </x:c>
      <x:c r="H348" s="108" t="str">
        <x:f>IF(F348="Approve recommendation",E348,IF(F348="Modify / custom answer",G348,IF(F348="Reject","Rejected",IF(F348="Defer","Deferred",IF(F348="Needs evidence","Pending evidence","")))))</x:f>
        <x:v>Yes — include quotation/invoice formats because the B2B Amenities &amp; Packaging stream is in scope; legal/tax fields remain market-specific.</x:v>
      </x:c>
      <x:c r="I348" s="107" t="str">
        <x:f>IF(F348="","Pending",IF(F348="Approve recommendation","Approved",IF(F348="Modify / custom answer",IF(G348="","Action Required","Approved with modification"),IF(F348="Reject","Rejected",IF(F348="Defer","Deferred",IF(F348="Needs evidence","Evidence Required","Pending"))))))</x:f>
        <x:v>Approved with modification</x:v>
      </x:c>
      <x:c r="J348" s="107" t="str">
        <x:v>High</x:v>
      </x:c>
      <x:c r="K348" s="110" t="str">
        <x:v>Design Custodian + Presentation / Document QA</x:v>
      </x:c>
      <x:c r="L348" s="110" t="str">
        <x:v>Approved as the V3.0 consultant recommendation, grounded in the current GEM source system and best-practice review.</x:v>
      </x:c>
      <x:c r="M348" s="108" t="str">
        <x:v>No</x:v>
      </x:c>
      <x:c r="N348" s="108" t="str"/>
      <x:c r="O348" s="108" t="str">
        <x:v>V2 audit</x:v>
      </x:c>
      <x:c r="P348" s="108" t="str">
        <x:v>SRC-02</x:v>
      </x:c>
      <x:c r="Q348" s="108" t="str"/>
      <x:c r="R348" s="108" t="str">
        <x:v>20 — Templates &amp; Asset Library</x:v>
      </x:c>
      <x:c r="S348" s="110" t="str">
        <x:v>ChatGPT prefill · 06 Oct 2026</x:v>
      </x:c>
    </x:row>
    <x:row r="349" ht="36" customHeight="1">
      <x:c r="A349" s="107" t="str">
        <x:v>W11</x:v>
      </x:c>
      <x:c r="B349" s="107" t="str">
        <x:v>Templates and working files</x:v>
      </x:c>
      <x:c r="C349" s="107" t="str">
        <x:v>Scope / deliverable</x:v>
      </x:c>
      <x:c r="D349" s="108" t="str">
        <x:v>Include digital UI starter kit in final system?</x:v>
      </x:c>
      <x:c r="E349" s="108" t="str">
        <x:v>Yes</x:v>
      </x:c>
      <x:c r="F349" s="109" t="str">
        <x:v>Approve recommendation</x:v>
      </x:c>
      <x:c r="G349" s="110"/>
      <x:c r="H349" s="108" t="str">
        <x:f>IF(F349="Approve recommendation",E349,IF(F349="Modify / custom answer",G349,IF(F349="Reject","Rejected",IF(F349="Defer","Deferred",IF(F349="Needs evidence","Pending evidence","")))))</x:f>
        <x:v>Yes</x:v>
      </x:c>
      <x:c r="I349" s="107" t="str">
        <x:f>IF(F349="","Pending",IF(F349="Approve recommendation","Approved",IF(F349="Modify / custom answer",IF(G349="","Action Required","Approved with modification"),IF(F349="Reject","Rejected",IF(F349="Defer","Deferred",IF(F349="Needs evidence","Evidence Required","Pending"))))))</x:f>
        <x:v>Approved</x:v>
      </x:c>
      <x:c r="J349" s="107" t="str">
        <x:v>High</x:v>
      </x:c>
      <x:c r="K349" s="110" t="str">
        <x:v>Design Custodian + Presentation / Document QA</x:v>
      </x:c>
      <x:c r="L349" s="110"/>
      <x:c r="M349" s="108" t="str">
        <x:v>No</x:v>
      </x:c>
      <x:c r="N349" s="108" t="str"/>
      <x:c r="O349" s="108" t="str">
        <x:v>V2 audit</x:v>
      </x:c>
      <x:c r="P349" s="108" t="str">
        <x:v>SRC-02</x:v>
      </x:c>
      <x:c r="Q349" s="108" t="str"/>
      <x:c r="R349" s="108" t="str">
        <x:v>20 — Templates &amp; Asset Library</x:v>
      </x:c>
      <x:c r="S349" s="110" t="str">
        <x:v>ChatGPT prefill · 06 Oct 2026</x:v>
      </x:c>
    </x:row>
    <x:row r="350" ht="36" customHeight="1">
      <x:c r="A350" s="107" t="str">
        <x:v>W12</x:v>
      </x:c>
      <x:c r="B350" s="107" t="str">
        <x:v>Templates and working files</x:v>
      </x:c>
      <x:c r="C350" s="107" t="str">
        <x:v>Scope / deliverable</x:v>
      </x:c>
      <x:c r="D350" s="108" t="str">
        <x:v>Include wayfinding starter templates in final system?</x:v>
      </x:c>
      <x:c r="E350" s="108" t="str">
        <x:v>Yes if physical environments are in scope</x:v>
      </x:c>
      <x:c r="F350" s="109" t="str">
        <x:v>Modify / custom answer</x:v>
      </x:c>
      <x:c r="G350" s="110" t="str">
        <x:v>Include reusable environmental/wayfinding layout templates and specification sheets, but no site-specific fabrication drawings without a live property brief.</x:v>
      </x:c>
      <x:c r="H350" s="108" t="str">
        <x:f>IF(F350="Approve recommendation",E350,IF(F350="Modify / custom answer",G350,IF(F350="Reject","Rejected",IF(F350="Defer","Deferred",IF(F350="Needs evidence","Pending evidence","")))))</x:f>
        <x:v>Include reusable environmental/wayfinding layout templates and specification sheets, but no site-specific fabrication drawings without a live property brief.</x:v>
      </x:c>
      <x:c r="I350" s="107" t="str">
        <x:f>IF(F350="","Pending",IF(F350="Approve recommendation","Approved",IF(F350="Modify / custom answer",IF(G350="","Action Required","Approved with modification"),IF(F350="Reject","Rejected",IF(F350="Defer","Deferred",IF(F350="Needs evidence","Evidence Required","Pending"))))))</x:f>
        <x:v>Approved with modification</x:v>
      </x:c>
      <x:c r="J350" s="107" t="str">
        <x:v>High</x:v>
      </x:c>
      <x:c r="K350" s="110" t="str">
        <x:v>Design Custodian + Presentation / Document QA</x:v>
      </x:c>
      <x:c r="L350" s="110" t="str">
        <x:v>Approved as the V3.0 consultant recommendation, grounded in the current GEM source system and best-practice review.</x:v>
      </x:c>
      <x:c r="M350" s="108" t="str">
        <x:v>Yes</x:v>
      </x:c>
      <x:c r="N350" s="108" t="str"/>
      <x:c r="O350" s="108" t="str">
        <x:v>V2 audit</x:v>
      </x:c>
      <x:c r="P350" s="108" t="str">
        <x:v>SRC-02</x:v>
      </x:c>
      <x:c r="Q350" s="108" t="str"/>
      <x:c r="R350" s="108" t="str">
        <x:v>20 — Templates &amp; Asset Library</x:v>
      </x:c>
      <x:c r="S350" s="110" t="str">
        <x:v>ChatGPT prefill · 06 Oct 2026</x:v>
      </x:c>
    </x:row>
    <x:row r="351" ht="36" customHeight="1">
      <x:c r="A351" s="107" t="str">
        <x:v>W13</x:v>
      </x:c>
      <x:c r="B351" s="107" t="str">
        <x:v>Templates and working files</x:v>
      </x:c>
      <x:c r="C351" s="107" t="str">
        <x:v>Scope / deliverable</x:v>
      </x:c>
      <x:c r="D351" s="108" t="str">
        <x:v>Include Arabic presentation layouts in final system?</x:v>
      </x:c>
      <x:c r="E351" s="108" t="str">
        <x:v>Yes if Arabic is in scope</x:v>
      </x:c>
      <x:c r="F351" s="109" t="str">
        <x:v>Approve recommendation</x:v>
      </x:c>
      <x:c r="G351" s="110"/>
      <x:c r="H351" s="108" t="str">
        <x:f>IF(F351="Approve recommendation",E351,IF(F351="Modify / custom answer",G351,IF(F351="Reject","Rejected",IF(F351="Defer","Deferred",IF(F351="Needs evidence","Pending evidence","")))))</x:f>
        <x:v>Yes if Arabic is in scope</x:v>
      </x:c>
      <x:c r="I351" s="107" t="str">
        <x:f>IF(F351="","Pending",IF(F351="Approve recommendation","Approved",IF(F351="Modify / custom answer",IF(G351="","Action Required","Approved with modification"),IF(F351="Reject","Rejected",IF(F351="Defer","Deferred",IF(F351="Needs evidence","Evidence Required","Pending"))))))</x:f>
        <x:v>Approved</x:v>
      </x:c>
      <x:c r="J351" s="107" t="str">
        <x:v>High</x:v>
      </x:c>
      <x:c r="K351" s="110" t="str">
        <x:v>Design Custodian + Presentation / Document QA</x:v>
      </x:c>
      <x:c r="L351" s="110"/>
      <x:c r="M351" s="108" t="str">
        <x:v>No</x:v>
      </x:c>
      <x:c r="N351" s="108" t="str"/>
      <x:c r="O351" s="108" t="str">
        <x:v>V2 audit</x:v>
      </x:c>
      <x:c r="P351" s="108" t="str">
        <x:v>SRC-02</x:v>
      </x:c>
      <x:c r="Q351" s="108" t="str"/>
      <x:c r="R351" s="108" t="str">
        <x:v>20 — Templates &amp; Asset Library</x:v>
      </x:c>
      <x:c r="S351" s="110" t="str">
        <x:v>ChatGPT prefill · 06 Oct 2026</x:v>
      </x:c>
    </x:row>
    <x:row r="352" ht="36" customHeight="1">
      <x:c r="A352" s="107" t="str">
        <x:v>W14</x:v>
      </x:c>
      <x:c r="B352" s="107" t="str">
        <x:v>Templates and working files</x:v>
      </x:c>
      <x:c r="C352" s="107" t="str">
        <x:v>Scope / deliverable</x:v>
      </x:c>
      <x:c r="D352" s="108" t="str">
        <x:v>Include Arabic document layouts in final system?</x:v>
      </x:c>
      <x:c r="E352" s="108" t="str">
        <x:v>Yes if Arabic is in scope</x:v>
      </x:c>
      <x:c r="F352" s="109" t="str">
        <x:v>Approve recommendation</x:v>
      </x:c>
      <x:c r="G352" s="110"/>
      <x:c r="H352" s="108" t="str">
        <x:f>IF(F352="Approve recommendation",E352,IF(F352="Modify / custom answer",G352,IF(F352="Reject","Rejected",IF(F352="Defer","Deferred",IF(F352="Needs evidence","Pending evidence","")))))</x:f>
        <x:v>Yes if Arabic is in scope</x:v>
      </x:c>
      <x:c r="I352" s="107" t="str">
        <x:f>IF(F352="","Pending",IF(F352="Approve recommendation","Approved",IF(F352="Modify / custom answer",IF(G352="","Action Required","Approved with modification"),IF(F352="Reject","Rejected",IF(F352="Defer","Deferred",IF(F352="Needs evidence","Evidence Required","Pending"))))))</x:f>
        <x:v>Approved</x:v>
      </x:c>
      <x:c r="J352" s="107" t="str">
        <x:v>High</x:v>
      </x:c>
      <x:c r="K352" s="110" t="str">
        <x:v>Design Custodian + Presentation / Document QA</x:v>
      </x:c>
      <x:c r="L352" s="110"/>
      <x:c r="M352" s="108" t="str">
        <x:v>No</x:v>
      </x:c>
      <x:c r="N352" s="108" t="str"/>
      <x:c r="O352" s="108" t="str">
        <x:v>V2 audit</x:v>
      </x:c>
      <x:c r="P352" s="108" t="str">
        <x:v>SRC-02</x:v>
      </x:c>
      <x:c r="Q352" s="108" t="str"/>
      <x:c r="R352" s="108" t="str">
        <x:v>20 — Templates &amp; Asset Library</x:v>
      </x:c>
      <x:c r="S352" s="110" t="str">
        <x:v>ChatGPT prefill · 06 Oct 2026</x:v>
      </x:c>
    </x:row>
    <x:row r="353" ht="36" customHeight="1">
      <x:c r="A353" s="107" t="str">
        <x:v>X01</x:v>
      </x:c>
      <x:c r="B353" s="107" t="str">
        <x:v>Asset library</x:v>
      </x:c>
      <x:c r="C353" s="107" t="str">
        <x:v>Scope / deliverable</x:v>
      </x:c>
      <x:c r="D353" s="108" t="str">
        <x:v>Use controlled asset-library structure?</x:v>
      </x:c>
      <x:c r="E353" s="108" t="str">
        <x:v>Yes</x:v>
      </x:c>
      <x:c r="F353" s="109" t="str">
        <x:v>Approve recommendation</x:v>
      </x:c>
      <x:c r="G353" s="110"/>
      <x:c r="H353" s="108" t="str">
        <x:f>IF(F353="Approve recommendation",E353,IF(F353="Modify / custom answer",G353,IF(F353="Reject","Rejected",IF(F353="Defer","Deferred",IF(F353="Needs evidence","Pending evidence","")))))</x:f>
        <x:v>Yes</x:v>
      </x:c>
      <x:c r="I353" s="107" t="str">
        <x:f>IF(F353="","Pending",IF(F353="Approve recommendation","Approved",IF(F353="Modify / custom answer",IF(G353="","Action Required","Approved with modification"),IF(F353="Reject","Rejected",IF(F353="Defer","Deferred",IF(F353="Needs evidence","Evidence Required","Pending"))))))</x:f>
        <x:v>Approved</x:v>
      </x:c>
      <x:c r="J353" s="107" t="str">
        <x:v>High</x:v>
      </x:c>
      <x:c r="K353" s="110" t="str">
        <x:v>Asset Librarian / Governance PM + Design Custodian</x:v>
      </x:c>
      <x:c r="L353" s="110"/>
      <x:c r="M353" s="108" t="str">
        <x:v>No</x:v>
      </x:c>
      <x:c r="N353" s="108" t="str"/>
      <x:c r="O353" s="108" t="str">
        <x:v>V2 audit + best practice</x:v>
      </x:c>
      <x:c r="P353" s="108" t="str">
        <x:v>SRC-02</x:v>
      </x:c>
      <x:c r="Q353" s="108" t="str"/>
      <x:c r="R353" s="108" t="str">
        <x:v>20 — Templates &amp; Asset Library</x:v>
      </x:c>
      <x:c r="S353" s="110" t="str">
        <x:v>ChatGPT prefill · 06 Oct 2026</x:v>
      </x:c>
    </x:row>
    <x:row r="354" ht="36" customHeight="1">
      <x:c r="A354" s="107" t="str">
        <x:v>X02</x:v>
      </x:c>
      <x:c r="B354" s="107" t="str">
        <x:v>Asset library</x:v>
      </x:c>
      <x:c r="C354" s="107" t="str">
        <x:v>Scope / deliverable</x:v>
      </x:c>
      <x:c r="D354" s="108" t="str">
        <x:v>Include 01 Brand Masters folder?</x:v>
      </x:c>
      <x:c r="E354" s="108" t="str">
        <x:v>Yes</x:v>
      </x:c>
      <x:c r="F354" s="109" t="str">
        <x:v>Approve recommendation</x:v>
      </x:c>
      <x:c r="G354" s="110"/>
      <x:c r="H354" s="108" t="str">
        <x:f>IF(F354="Approve recommendation",E354,IF(F354="Modify / custom answer",G354,IF(F354="Reject","Rejected",IF(F354="Defer","Deferred",IF(F354="Needs evidence","Pending evidence","")))))</x:f>
        <x:v>Yes</x:v>
      </x:c>
      <x:c r="I354" s="107" t="str">
        <x:f>IF(F354="","Pending",IF(F354="Approve recommendation","Approved",IF(F354="Modify / custom answer",IF(G354="","Action Required","Approved with modification"),IF(F354="Reject","Rejected",IF(F354="Defer","Deferred",IF(F354="Needs evidence","Evidence Required","Pending"))))))</x:f>
        <x:v>Approved</x:v>
      </x:c>
      <x:c r="J354" s="107" t="str">
        <x:v>High</x:v>
      </x:c>
      <x:c r="K354" s="110" t="str">
        <x:v>Asset Librarian / Governance PM + Design Custodian</x:v>
      </x:c>
      <x:c r="L354" s="110"/>
      <x:c r="M354" s="108" t="str">
        <x:v>No</x:v>
      </x:c>
      <x:c r="N354" s="108" t="str"/>
      <x:c r="O354" s="108" t="str">
        <x:v>V2 audit + best practice</x:v>
      </x:c>
      <x:c r="P354" s="108" t="str">
        <x:v>SRC-02</x:v>
      </x:c>
      <x:c r="Q354" s="108" t="str"/>
      <x:c r="R354" s="108" t="str">
        <x:v>20 — Templates &amp; Asset Library</x:v>
      </x:c>
      <x:c r="S354" s="110" t="str">
        <x:v>ChatGPT prefill · 06 Oct 2026</x:v>
      </x:c>
    </x:row>
    <x:row r="355" ht="36" customHeight="1">
      <x:c r="A355" s="107" t="str">
        <x:v>X03</x:v>
      </x:c>
      <x:c r="B355" s="107" t="str">
        <x:v>Asset library</x:v>
      </x:c>
      <x:c r="C355" s="107" t="str">
        <x:v>Scope / deliverable</x:v>
      </x:c>
      <x:c r="D355" s="108" t="str">
        <x:v>Include 02 Type &amp; Color folder?</x:v>
      </x:c>
      <x:c r="E355" s="108" t="str">
        <x:v>Yes</x:v>
      </x:c>
      <x:c r="F355" s="109" t="str">
        <x:v>Approve recommendation</x:v>
      </x:c>
      <x:c r="G355" s="110"/>
      <x:c r="H355" s="108" t="str">
        <x:f>IF(F355="Approve recommendation",E355,IF(F355="Modify / custom answer",G355,IF(F355="Reject","Rejected",IF(F355="Defer","Deferred",IF(F355="Needs evidence","Pending evidence","")))))</x:f>
        <x:v>Yes</x:v>
      </x:c>
      <x:c r="I355" s="107" t="str">
        <x:f>IF(F355="","Pending",IF(F355="Approve recommendation","Approved",IF(F355="Modify / custom answer",IF(G355="","Action Required","Approved with modification"),IF(F355="Reject","Rejected",IF(F355="Defer","Deferred",IF(F355="Needs evidence","Evidence Required","Pending"))))))</x:f>
        <x:v>Approved</x:v>
      </x:c>
      <x:c r="J355" s="107" t="str">
        <x:v>High</x:v>
      </x:c>
      <x:c r="K355" s="110" t="str">
        <x:v>Asset Librarian / Governance PM + Design Custodian</x:v>
      </x:c>
      <x:c r="L355" s="110"/>
      <x:c r="M355" s="108" t="str">
        <x:v>No</x:v>
      </x:c>
      <x:c r="N355" s="108" t="str"/>
      <x:c r="O355" s="108" t="str">
        <x:v>V2 audit + best practice</x:v>
      </x:c>
      <x:c r="P355" s="108" t="str">
        <x:v>SRC-02</x:v>
      </x:c>
      <x:c r="Q355" s="108" t="str"/>
      <x:c r="R355" s="108" t="str">
        <x:v>20 — Templates &amp; Asset Library</x:v>
      </x:c>
      <x:c r="S355" s="110" t="str">
        <x:v>ChatGPT prefill · 06 Oct 2026</x:v>
      </x:c>
    </x:row>
    <x:row r="356" ht="36" customHeight="1">
      <x:c r="A356" s="107" t="str">
        <x:v>X04</x:v>
      </x:c>
      <x:c r="B356" s="107" t="str">
        <x:v>Asset library</x:v>
      </x:c>
      <x:c r="C356" s="107" t="str">
        <x:v>Scope / deliverable</x:v>
      </x:c>
      <x:c r="D356" s="108" t="str">
        <x:v>Include 03 Imagery folder?</x:v>
      </x:c>
      <x:c r="E356" s="108" t="str">
        <x:v>Yes</x:v>
      </x:c>
      <x:c r="F356" s="109" t="str">
        <x:v>Approve recommendation</x:v>
      </x:c>
      <x:c r="G356" s="110"/>
      <x:c r="H356" s="108" t="str">
        <x:f>IF(F356="Approve recommendation",E356,IF(F356="Modify / custom answer",G356,IF(F356="Reject","Rejected",IF(F356="Defer","Deferred",IF(F356="Needs evidence","Pending evidence","")))))</x:f>
        <x:v>Yes</x:v>
      </x:c>
      <x:c r="I356" s="107" t="str">
        <x:f>IF(F356="","Pending",IF(F356="Approve recommendation","Approved",IF(F356="Modify / custom answer",IF(G356="","Action Required","Approved with modification"),IF(F356="Reject","Rejected",IF(F356="Defer","Deferred",IF(F356="Needs evidence","Evidence Required","Pending"))))))</x:f>
        <x:v>Approved</x:v>
      </x:c>
      <x:c r="J356" s="107" t="str">
        <x:v>High</x:v>
      </x:c>
      <x:c r="K356" s="110" t="str">
        <x:v>Asset Librarian / Governance PM + Design Custodian</x:v>
      </x:c>
      <x:c r="L356" s="110"/>
      <x:c r="M356" s="108" t="str">
        <x:v>No</x:v>
      </x:c>
      <x:c r="N356" s="108" t="str"/>
      <x:c r="O356" s="108" t="str">
        <x:v>V2 audit + best practice</x:v>
      </x:c>
      <x:c r="P356" s="108" t="str">
        <x:v>SRC-02</x:v>
      </x:c>
      <x:c r="Q356" s="108" t="str"/>
      <x:c r="R356" s="108" t="str">
        <x:v>20 — Templates &amp; Asset Library</x:v>
      </x:c>
      <x:c r="S356" s="110" t="str">
        <x:v>ChatGPT prefill · 06 Oct 2026</x:v>
      </x:c>
    </x:row>
    <x:row r="357" ht="36" customHeight="1">
      <x:c r="A357" s="107" t="str">
        <x:v>X05</x:v>
      </x:c>
      <x:c r="B357" s="107" t="str">
        <x:v>Asset library</x:v>
      </x:c>
      <x:c r="C357" s="107" t="str">
        <x:v>Scope / deliverable</x:v>
      </x:c>
      <x:c r="D357" s="108" t="str">
        <x:v>Include 04 Motion folder?</x:v>
      </x:c>
      <x:c r="E357" s="108" t="str">
        <x:v>Yes</x:v>
      </x:c>
      <x:c r="F357" s="109" t="str">
        <x:v>Approve recommendation</x:v>
      </x:c>
      <x:c r="G357" s="110"/>
      <x:c r="H357" s="108" t="str">
        <x:f>IF(F357="Approve recommendation",E357,IF(F357="Modify / custom answer",G357,IF(F357="Reject","Rejected",IF(F357="Defer","Deferred",IF(F357="Needs evidence","Pending evidence","")))))</x:f>
        <x:v>Yes</x:v>
      </x:c>
      <x:c r="I357" s="107" t="str">
        <x:f>IF(F357="","Pending",IF(F357="Approve recommendation","Approved",IF(F357="Modify / custom answer",IF(G357="","Action Required","Approved with modification"),IF(F357="Reject","Rejected",IF(F357="Defer","Deferred",IF(F357="Needs evidence","Evidence Required","Pending"))))))</x:f>
        <x:v>Approved</x:v>
      </x:c>
      <x:c r="J357" s="107" t="str">
        <x:v>High</x:v>
      </x:c>
      <x:c r="K357" s="110" t="str">
        <x:v>Asset Librarian / Governance PM + Design Custodian</x:v>
      </x:c>
      <x:c r="L357" s="110"/>
      <x:c r="M357" s="108" t="str">
        <x:v>No</x:v>
      </x:c>
      <x:c r="N357" s="108" t="str"/>
      <x:c r="O357" s="108" t="str">
        <x:v>V2 audit + best practice</x:v>
      </x:c>
      <x:c r="P357" s="108" t="str">
        <x:v>SRC-02</x:v>
      </x:c>
      <x:c r="Q357" s="108" t="str"/>
      <x:c r="R357" s="108" t="str">
        <x:v>20 — Templates &amp; Asset Library</x:v>
      </x:c>
      <x:c r="S357" s="110" t="str">
        <x:v>ChatGPT prefill · 06 Oct 2026</x:v>
      </x:c>
    </x:row>
    <x:row r="358" ht="36" customHeight="1">
      <x:c r="A358" s="107" t="str">
        <x:v>X06</x:v>
      </x:c>
      <x:c r="B358" s="107" t="str">
        <x:v>Asset library</x:v>
      </x:c>
      <x:c r="C358" s="107" t="str">
        <x:v>Scope / deliverable</x:v>
      </x:c>
      <x:c r="D358" s="108" t="str">
        <x:v>Include 05 Applications folder?</x:v>
      </x:c>
      <x:c r="E358" s="108" t="str">
        <x:v>Yes</x:v>
      </x:c>
      <x:c r="F358" s="109" t="str">
        <x:v>Approve recommendation</x:v>
      </x:c>
      <x:c r="G358" s="110"/>
      <x:c r="H358" s="108" t="str">
        <x:f>IF(F358="Approve recommendation",E358,IF(F358="Modify / custom answer",G358,IF(F358="Reject","Rejected",IF(F358="Defer","Deferred",IF(F358="Needs evidence","Pending evidence","")))))</x:f>
        <x:v>Yes</x:v>
      </x:c>
      <x:c r="I358" s="107" t="str">
        <x:f>IF(F358="","Pending",IF(F358="Approve recommendation","Approved",IF(F358="Modify / custom answer",IF(G358="","Action Required","Approved with modification"),IF(F358="Reject","Rejected",IF(F358="Defer","Deferred",IF(F358="Needs evidence","Evidence Required","Pending"))))))</x:f>
        <x:v>Approved</x:v>
      </x:c>
      <x:c r="J358" s="107" t="str">
        <x:v>High</x:v>
      </x:c>
      <x:c r="K358" s="110" t="str">
        <x:v>Asset Librarian / Governance PM + Design Custodian</x:v>
      </x:c>
      <x:c r="L358" s="110"/>
      <x:c r="M358" s="108" t="str">
        <x:v>No</x:v>
      </x:c>
      <x:c r="N358" s="108" t="str"/>
      <x:c r="O358" s="108" t="str">
        <x:v>V2 audit + best practice</x:v>
      </x:c>
      <x:c r="P358" s="108" t="str">
        <x:v>SRC-02</x:v>
      </x:c>
      <x:c r="Q358" s="108" t="str"/>
      <x:c r="R358" s="108" t="str">
        <x:v>20 — Templates &amp; Asset Library</x:v>
      </x:c>
      <x:c r="S358" s="110" t="str">
        <x:v>ChatGPT prefill · 06 Oct 2026</x:v>
      </x:c>
    </x:row>
    <x:row r="359" ht="36" customHeight="1">
      <x:c r="A359" s="107" t="str">
        <x:v>X07</x:v>
      </x:c>
      <x:c r="B359" s="107" t="str">
        <x:v>Asset library</x:v>
      </x:c>
      <x:c r="C359" s="107" t="str">
        <x:v>Scope / deliverable</x:v>
      </x:c>
      <x:c r="D359" s="108" t="str">
        <x:v>Include 06 Packaging folder?</x:v>
      </x:c>
      <x:c r="E359" s="108" t="str">
        <x:v>Yes</x:v>
      </x:c>
      <x:c r="F359" s="109" t="str">
        <x:v>Approve recommendation</x:v>
      </x:c>
      <x:c r="G359" s="110"/>
      <x:c r="H359" s="108" t="str">
        <x:f>IF(F359="Approve recommendation",E359,IF(F359="Modify / custom answer",G359,IF(F359="Reject","Rejected",IF(F359="Defer","Deferred",IF(F359="Needs evidence","Pending evidence","")))))</x:f>
        <x:v>Yes</x:v>
      </x:c>
      <x:c r="I359" s="107" t="str">
        <x:f>IF(F359="","Pending",IF(F359="Approve recommendation","Approved",IF(F359="Modify / custom answer",IF(G359="","Action Required","Approved with modification"),IF(F359="Reject","Rejected",IF(F359="Defer","Deferred",IF(F359="Needs evidence","Evidence Required","Pending"))))))</x:f>
        <x:v>Approved</x:v>
      </x:c>
      <x:c r="J359" s="107" t="str">
        <x:v>High</x:v>
      </x:c>
      <x:c r="K359" s="110" t="str">
        <x:v>Asset Librarian / Governance PM + Design Custodian</x:v>
      </x:c>
      <x:c r="L359" s="110"/>
      <x:c r="M359" s="108" t="str">
        <x:v>No</x:v>
      </x:c>
      <x:c r="N359" s="108" t="str"/>
      <x:c r="O359" s="108" t="str">
        <x:v>V2 audit + best practice</x:v>
      </x:c>
      <x:c r="P359" s="108" t="str">
        <x:v>SRC-02</x:v>
      </x:c>
      <x:c r="Q359" s="108" t="str"/>
      <x:c r="R359" s="108" t="str">
        <x:v>20 — Templates &amp; Asset Library</x:v>
      </x:c>
      <x:c r="S359" s="110" t="str">
        <x:v>ChatGPT prefill · 06 Oct 2026</x:v>
      </x:c>
    </x:row>
    <x:row r="360" ht="36" customHeight="1">
      <x:c r="A360" s="107" t="str">
        <x:v>X08</x:v>
      </x:c>
      <x:c r="B360" s="107" t="str">
        <x:v>Asset library</x:v>
      </x:c>
      <x:c r="C360" s="107" t="str">
        <x:v>Scope / deliverable</x:v>
      </x:c>
      <x:c r="D360" s="108" t="str">
        <x:v>Include 07 Digital folder?</x:v>
      </x:c>
      <x:c r="E360" s="108" t="str">
        <x:v>Yes</x:v>
      </x:c>
      <x:c r="F360" s="109" t="str">
        <x:v>Approve recommendation</x:v>
      </x:c>
      <x:c r="G360" s="110"/>
      <x:c r="H360" s="108" t="str">
        <x:f>IF(F360="Approve recommendation",E360,IF(F360="Modify / custom answer",G360,IF(F360="Reject","Rejected",IF(F360="Defer","Deferred",IF(F360="Needs evidence","Pending evidence","")))))</x:f>
        <x:v>Yes</x:v>
      </x:c>
      <x:c r="I360" s="107" t="str">
        <x:f>IF(F360="","Pending",IF(F360="Approve recommendation","Approved",IF(F360="Modify / custom answer",IF(G360="","Action Required","Approved with modification"),IF(F360="Reject","Rejected",IF(F360="Defer","Deferred",IF(F360="Needs evidence","Evidence Required","Pending"))))))</x:f>
        <x:v>Approved</x:v>
      </x:c>
      <x:c r="J360" s="107" t="str">
        <x:v>High</x:v>
      </x:c>
      <x:c r="K360" s="110" t="str">
        <x:v>Asset Librarian / Governance PM + Design Custodian</x:v>
      </x:c>
      <x:c r="L360" s="110"/>
      <x:c r="M360" s="108" t="str">
        <x:v>No</x:v>
      </x:c>
      <x:c r="N360" s="108" t="str"/>
      <x:c r="O360" s="108" t="str">
        <x:v>V2 audit + best practice</x:v>
      </x:c>
      <x:c r="P360" s="108" t="str">
        <x:v>SRC-02</x:v>
      </x:c>
      <x:c r="Q360" s="108" t="str"/>
      <x:c r="R360" s="108" t="str">
        <x:v>20 — Templates &amp; Asset Library</x:v>
      </x:c>
      <x:c r="S360" s="110" t="str">
        <x:v>ChatGPT prefill · 06 Oct 2026</x:v>
      </x:c>
    </x:row>
    <x:row r="361" ht="36" customHeight="1">
      <x:c r="A361" s="107" t="str">
        <x:v>X09</x:v>
      </x:c>
      <x:c r="B361" s="107" t="str">
        <x:v>Asset library</x:v>
      </x:c>
      <x:c r="C361" s="107" t="str">
        <x:v>Scope / deliverable</x:v>
      </x:c>
      <x:c r="D361" s="108" t="str">
        <x:v>Include 08 Localization folder?</x:v>
      </x:c>
      <x:c r="E361" s="108" t="str">
        <x:v>Yes</x:v>
      </x:c>
      <x:c r="F361" s="109" t="str">
        <x:v>Approve recommendation</x:v>
      </x:c>
      <x:c r="G361" s="110"/>
      <x:c r="H361" s="108" t="str">
        <x:f>IF(F361="Approve recommendation",E361,IF(F361="Modify / custom answer",G361,IF(F361="Reject","Rejected",IF(F361="Defer","Deferred",IF(F361="Needs evidence","Pending evidence","")))))</x:f>
        <x:v>Yes</x:v>
      </x:c>
      <x:c r="I361" s="107" t="str">
        <x:f>IF(F361="","Pending",IF(F361="Approve recommendation","Approved",IF(F361="Modify / custom answer",IF(G361="","Action Required","Approved with modification"),IF(F361="Reject","Rejected",IF(F361="Defer","Deferred",IF(F361="Needs evidence","Evidence Required","Pending"))))))</x:f>
        <x:v>Approved</x:v>
      </x:c>
      <x:c r="J361" s="107" t="str">
        <x:v>High</x:v>
      </x:c>
      <x:c r="K361" s="110" t="str">
        <x:v>Asset Librarian / Governance PM + Design Custodian</x:v>
      </x:c>
      <x:c r="L361" s="110"/>
      <x:c r="M361" s="108" t="str">
        <x:v>No</x:v>
      </x:c>
      <x:c r="N361" s="108" t="str"/>
      <x:c r="O361" s="108" t="str">
        <x:v>V2 audit + best practice</x:v>
      </x:c>
      <x:c r="P361" s="108" t="str">
        <x:v>SRC-02</x:v>
      </x:c>
      <x:c r="Q361" s="108" t="str"/>
      <x:c r="R361" s="108" t="str">
        <x:v>20 — Templates &amp; Asset Library</x:v>
      </x:c>
      <x:c r="S361" s="110" t="str">
        <x:v>ChatGPT prefill · 06 Oct 2026</x:v>
      </x:c>
    </x:row>
    <x:row r="362" ht="36" customHeight="1">
      <x:c r="A362" s="107" t="str">
        <x:v>X10</x:v>
      </x:c>
      <x:c r="B362" s="107" t="str">
        <x:v>Asset library</x:v>
      </x:c>
      <x:c r="C362" s="107" t="str">
        <x:v>Scope / deliverable</x:v>
      </x:c>
      <x:c r="D362" s="108" t="str">
        <x:v>Include 09 Governance folder?</x:v>
      </x:c>
      <x:c r="E362" s="108" t="str">
        <x:v>Yes</x:v>
      </x:c>
      <x:c r="F362" s="109" t="str">
        <x:v>Approve recommendation</x:v>
      </x:c>
      <x:c r="G362" s="110"/>
      <x:c r="H362" s="108" t="str">
        <x:f>IF(F362="Approve recommendation",E362,IF(F362="Modify / custom answer",G362,IF(F362="Reject","Rejected",IF(F362="Defer","Deferred",IF(F362="Needs evidence","Pending evidence","")))))</x:f>
        <x:v>Yes</x:v>
      </x:c>
      <x:c r="I362" s="107" t="str">
        <x:f>IF(F362="","Pending",IF(F362="Approve recommendation","Approved",IF(F362="Modify / custom answer",IF(G362="","Action Required","Approved with modification"),IF(F362="Reject","Rejected",IF(F362="Defer","Deferred",IF(F362="Needs evidence","Evidence Required","Pending"))))))</x:f>
        <x:v>Approved</x:v>
      </x:c>
      <x:c r="J362" s="107" t="str">
        <x:v>High</x:v>
      </x:c>
      <x:c r="K362" s="110" t="str">
        <x:v>Asset Librarian / Governance PM + Design Custodian</x:v>
      </x:c>
      <x:c r="L362" s="110"/>
      <x:c r="M362" s="108" t="str">
        <x:v>No</x:v>
      </x:c>
      <x:c r="N362" s="108" t="str"/>
      <x:c r="O362" s="108" t="str">
        <x:v>V2 audit + best practice</x:v>
      </x:c>
      <x:c r="P362" s="108" t="str">
        <x:v>SRC-02</x:v>
      </x:c>
      <x:c r="Q362" s="108" t="str"/>
      <x:c r="R362" s="108" t="str">
        <x:v>20 — Templates &amp; Asset Library</x:v>
      </x:c>
      <x:c r="S362" s="110" t="str">
        <x:v>ChatGPT prefill · 06 Oct 2026</x:v>
      </x:c>
    </x:row>
    <x:row r="363" ht="36" customHeight="1">
      <x:c r="A363" s="107" t="str">
        <x:v>X11</x:v>
      </x:c>
      <x:c r="B363" s="107" t="str">
        <x:v>Asset library</x:v>
      </x:c>
      <x:c r="C363" s="107" t="str">
        <x:v>Scope / deliverable</x:v>
      </x:c>
      <x:c r="D363" s="108" t="str">
        <x:v>Include 10 Archive folder?</x:v>
      </x:c>
      <x:c r="E363" s="108" t="str">
        <x:v>Yes</x:v>
      </x:c>
      <x:c r="F363" s="109" t="str">
        <x:v>Approve recommendation</x:v>
      </x:c>
      <x:c r="G363" s="110"/>
      <x:c r="H363" s="108" t="str">
        <x:f>IF(F363="Approve recommendation",E363,IF(F363="Modify / custom answer",G363,IF(F363="Reject","Rejected",IF(F363="Defer","Deferred",IF(F363="Needs evidence","Pending evidence","")))))</x:f>
        <x:v>Yes</x:v>
      </x:c>
      <x:c r="I363" s="107" t="str">
        <x:f>IF(F363="","Pending",IF(F363="Approve recommendation","Approved",IF(F363="Modify / custom answer",IF(G363="","Action Required","Approved with modification"),IF(F363="Reject","Rejected",IF(F363="Defer","Deferred",IF(F363="Needs evidence","Evidence Required","Pending"))))))</x:f>
        <x:v>Approved</x:v>
      </x:c>
      <x:c r="J363" s="107" t="str">
        <x:v>High</x:v>
      </x:c>
      <x:c r="K363" s="110" t="str">
        <x:v>Asset Librarian / Governance PM + Design Custodian</x:v>
      </x:c>
      <x:c r="L363" s="110"/>
      <x:c r="M363" s="108" t="str">
        <x:v>No</x:v>
      </x:c>
      <x:c r="N363" s="108" t="str"/>
      <x:c r="O363" s="108" t="str">
        <x:v>V2 audit + best practice</x:v>
      </x:c>
      <x:c r="P363" s="108" t="str">
        <x:v>SRC-02</x:v>
      </x:c>
      <x:c r="Q363" s="108" t="str"/>
      <x:c r="R363" s="108" t="str">
        <x:v>20 — Templates &amp; Asset Library</x:v>
      </x:c>
      <x:c r="S363" s="110" t="str">
        <x:v>ChatGPT prefill · 06 Oct 2026</x:v>
      </x:c>
    </x:row>
    <x:row r="364" ht="36" customHeight="1">
      <x:c r="A364" s="107" t="str">
        <x:v>X12</x:v>
      </x:c>
      <x:c r="B364" s="107" t="str">
        <x:v>Asset library</x:v>
      </x:c>
      <x:c r="C364" s="107" t="str">
        <x:v>Scope / deliverable</x:v>
      </x:c>
      <x:c r="D364" s="108" t="str">
        <x:v>Standard filename convention</x:v>
      </x:c>
      <x:c r="E364" s="108" t="str">
        <x:v>GEM_[STREAM]_[ASSET]_[VARIANT]_vX.Y_YYYYMMDD.ext</x:v>
      </x:c>
      <x:c r="F364" s="109" t="str">
        <x:v>Approve recommendation</x:v>
      </x:c>
      <x:c r="G364" s="110"/>
      <x:c r="H364" s="108" t="str">
        <x:f>IF(F364="Approve recommendation",E364,IF(F364="Modify / custom answer",G364,IF(F364="Reject","Rejected",IF(F364="Defer","Deferred",IF(F364="Needs evidence","Pending evidence","")))))</x:f>
        <x:v>GEM_[STREAM]_[ASSET]_[VARIANT]_vX.Y_YYYYMMDD.ext</x:v>
      </x:c>
      <x:c r="I364" s="107" t="str">
        <x:f>IF(F364="","Pending",IF(F364="Approve recommendation","Approved",IF(F364="Modify / custom answer",IF(G364="","Action Required","Approved with modification"),IF(F364="Reject","Rejected",IF(F364="Defer","Deferred",IF(F364="Needs evidence","Evidence Required","Pending"))))))</x:f>
        <x:v>Approved</x:v>
      </x:c>
      <x:c r="J364" s="107" t="str">
        <x:v>High</x:v>
      </x:c>
      <x:c r="K364" s="110" t="str">
        <x:v>Asset Librarian / Governance PM + Design Custodian</x:v>
      </x:c>
      <x:c r="L364" s="110"/>
      <x:c r="M364" s="108" t="str">
        <x:v>No</x:v>
      </x:c>
      <x:c r="N364" s="108" t="str"/>
      <x:c r="O364" s="108" t="str">
        <x:v>V2 audit + best practice</x:v>
      </x:c>
      <x:c r="P364" s="108" t="str">
        <x:v>SRC-02</x:v>
      </x:c>
      <x:c r="Q364" s="108" t="str"/>
      <x:c r="R364" s="108" t="str">
        <x:v>20 — Templates &amp; Asset Library</x:v>
      </x:c>
      <x:c r="S364" s="110" t="str">
        <x:v>ChatGPT prefill · 06 Oct 2026</x:v>
      </x:c>
    </x:row>
    <x:row r="365" ht="36" customHeight="1">
      <x:c r="A365" s="107" t="str">
        <x:v>X13</x:v>
      </x:c>
      <x:c r="B365" s="107" t="str">
        <x:v>Asset library</x:v>
      </x:c>
      <x:c r="C365" s="107" t="str">
        <x:v>Scope / deliverable</x:v>
      </x:c>
      <x:c r="D365" s="108" t="str">
        <x:v>Store source/native files?</x:v>
      </x:c>
      <x:c r="E365" s="108" t="str">
        <x:v>Yes</x:v>
      </x:c>
      <x:c r="F365" s="109" t="str">
        <x:v>Approve recommendation</x:v>
      </x:c>
      <x:c r="G365" s="110"/>
      <x:c r="H365" s="108" t="str">
        <x:f>IF(F365="Approve recommendation",E365,IF(F365="Modify / custom answer",G365,IF(F365="Reject","Rejected",IF(F365="Defer","Deferred",IF(F365="Needs evidence","Pending evidence","")))))</x:f>
        <x:v>Yes</x:v>
      </x:c>
      <x:c r="I365" s="107" t="str">
        <x:f>IF(F365="","Pending",IF(F365="Approve recommendation","Approved",IF(F365="Modify / custom answer",IF(G365="","Action Required","Approved with modification"),IF(F365="Reject","Rejected",IF(F365="Defer","Deferred",IF(F365="Needs evidence","Evidence Required","Pending"))))))</x:f>
        <x:v>Approved</x:v>
      </x:c>
      <x:c r="J365" s="107" t="str">
        <x:v>High</x:v>
      </x:c>
      <x:c r="K365" s="110" t="str">
        <x:v>Asset Librarian / Governance PM + Design Custodian</x:v>
      </x:c>
      <x:c r="L365" s="110"/>
      <x:c r="M365" s="108" t="str">
        <x:v>No</x:v>
      </x:c>
      <x:c r="N365" s="108" t="str"/>
      <x:c r="O365" s="108" t="str">
        <x:v>V2 audit + best practice</x:v>
      </x:c>
      <x:c r="P365" s="108" t="str">
        <x:v>SRC-02</x:v>
      </x:c>
      <x:c r="Q365" s="108" t="str"/>
      <x:c r="R365" s="108" t="str">
        <x:v>20 — Templates &amp; Asset Library</x:v>
      </x:c>
      <x:c r="S365" s="110" t="str">
        <x:v>ChatGPT prefill · 06 Oct 2026</x:v>
      </x:c>
    </x:row>
    <x:row r="366" ht="36" customHeight="1">
      <x:c r="A366" s="107" t="str">
        <x:v>X14</x:v>
      </x:c>
      <x:c r="B366" s="107" t="str">
        <x:v>Asset library</x:v>
      </x:c>
      <x:c r="C366" s="107" t="str">
        <x:v>Scope / deliverable</x:v>
      </x:c>
      <x:c r="D366" s="108" t="str">
        <x:v>Store exports separately from masters?</x:v>
      </x:c>
      <x:c r="E366" s="108" t="str">
        <x:v>Yes</x:v>
      </x:c>
      <x:c r="F366" s="109" t="str">
        <x:v>Approve recommendation</x:v>
      </x:c>
      <x:c r="G366" s="110"/>
      <x:c r="H366" s="108" t="str">
        <x:f>IF(F366="Approve recommendation",E366,IF(F366="Modify / custom answer",G366,IF(F366="Reject","Rejected",IF(F366="Defer","Deferred",IF(F366="Needs evidence","Pending evidence","")))))</x:f>
        <x:v>Yes</x:v>
      </x:c>
      <x:c r="I366" s="107" t="str">
        <x:f>IF(F366="","Pending",IF(F366="Approve recommendation","Approved",IF(F366="Modify / custom answer",IF(G366="","Action Required","Approved with modification"),IF(F366="Reject","Rejected",IF(F366="Defer","Deferred",IF(F366="Needs evidence","Evidence Required","Pending"))))))</x:f>
        <x:v>Approved</x:v>
      </x:c>
      <x:c r="J366" s="107" t="str">
        <x:v>High</x:v>
      </x:c>
      <x:c r="K366" s="110" t="str">
        <x:v>Asset Librarian / Governance PM + Design Custodian</x:v>
      </x:c>
      <x:c r="L366" s="110"/>
      <x:c r="M366" s="108" t="str">
        <x:v>No</x:v>
      </x:c>
      <x:c r="N366" s="108" t="str"/>
      <x:c r="O366" s="108" t="str">
        <x:v>V2 audit + best practice</x:v>
      </x:c>
      <x:c r="P366" s="108" t="str">
        <x:v>SRC-02</x:v>
      </x:c>
      <x:c r="Q366" s="108" t="str"/>
      <x:c r="R366" s="108" t="str">
        <x:v>20 — Templates &amp; Asset Library</x:v>
      </x:c>
      <x:c r="S366" s="110" t="str">
        <x:v>ChatGPT prefill · 06 Oct 2026</x:v>
      </x:c>
    </x:row>
    <x:row r="367" ht="36" customHeight="1">
      <x:c r="A367" s="107" t="str">
        <x:v>X15</x:v>
      </x:c>
      <x:c r="B367" s="107" t="str">
        <x:v>Asset library</x:v>
      </x:c>
      <x:c r="C367" s="107" t="str">
        <x:v>Scope / deliverable</x:v>
      </x:c>
      <x:c r="D367" s="108" t="str">
        <x:v>Maintain manifest/checksums?</x:v>
      </x:c>
      <x:c r="E367" s="108" t="str">
        <x:v>Yes for release packages</x:v>
      </x:c>
      <x:c r="F367" s="109" t="str">
        <x:v>Approve recommendation</x:v>
      </x:c>
      <x:c r="G367" s="110"/>
      <x:c r="H367" s="108" t="str">
        <x:f>IF(F367="Approve recommendation",E367,IF(F367="Modify / custom answer",G367,IF(F367="Reject","Rejected",IF(F367="Defer","Deferred",IF(F367="Needs evidence","Pending evidence","")))))</x:f>
        <x:v>Yes for release packages</x:v>
      </x:c>
      <x:c r="I367" s="107" t="str">
        <x:f>IF(F367="","Pending",IF(F367="Approve recommendation","Approved",IF(F367="Modify / custom answer",IF(G367="","Action Required","Approved with modification"),IF(F367="Reject","Rejected",IF(F367="Defer","Deferred",IF(F367="Needs evidence","Evidence Required","Pending"))))))</x:f>
        <x:v>Approved</x:v>
      </x:c>
      <x:c r="J367" s="107" t="str">
        <x:v>High</x:v>
      </x:c>
      <x:c r="K367" s="110" t="str">
        <x:v>Asset Librarian / Governance PM + Design Custodian</x:v>
      </x:c>
      <x:c r="L367" s="110"/>
      <x:c r="M367" s="108" t="str">
        <x:v>No</x:v>
      </x:c>
      <x:c r="N367" s="108" t="str"/>
      <x:c r="O367" s="108" t="str">
        <x:v>V2 audit + best practice</x:v>
      </x:c>
      <x:c r="P367" s="108" t="str">
        <x:v>SRC-02</x:v>
      </x:c>
      <x:c r="Q367" s="108" t="str"/>
      <x:c r="R367" s="108" t="str">
        <x:v>20 — Templates &amp; Asset Library</x:v>
      </x:c>
      <x:c r="S367" s="110" t="str">
        <x:v>ChatGPT prefill · 06 Oct 2026</x:v>
      </x:c>
    </x:row>
    <x:row r="368" ht="36" customHeight="1">
      <x:c r="A368" s="107" t="str">
        <x:v>X16</x:v>
      </x:c>
      <x:c r="B368" s="107" t="str">
        <x:v>Asset library</x:v>
      </x:c>
      <x:c r="C368" s="107" t="str">
        <x:v>Scope / deliverable</x:v>
      </x:c>
      <x:c r="D368" s="108" t="str">
        <x:v>Keep V1/V2 files in Archive rather than current folders?</x:v>
      </x:c>
      <x:c r="E368" s="108" t="str">
        <x:v>Yes</x:v>
      </x:c>
      <x:c r="F368" s="109" t="str">
        <x:v>Approve recommendation</x:v>
      </x:c>
      <x:c r="G368" s="110"/>
      <x:c r="H368" s="108" t="str">
        <x:f>IF(F368="Approve recommendation",E368,IF(F368="Modify / custom answer",G368,IF(F368="Reject","Rejected",IF(F368="Defer","Deferred",IF(F368="Needs evidence","Pending evidence","")))))</x:f>
        <x:v>Yes</x:v>
      </x:c>
      <x:c r="I368" s="107" t="str">
        <x:f>IF(F368="","Pending",IF(F368="Approve recommendation","Approved",IF(F368="Modify / custom answer",IF(G368="","Action Required","Approved with modification"),IF(F368="Reject","Rejected",IF(F368="Defer","Deferred",IF(F368="Needs evidence","Evidence Required","Pending"))))))</x:f>
        <x:v>Approved</x:v>
      </x:c>
      <x:c r="J368" s="107" t="str">
        <x:v>High</x:v>
      </x:c>
      <x:c r="K368" s="110" t="str">
        <x:v>Asset Librarian / Governance PM + Design Custodian</x:v>
      </x:c>
      <x:c r="L368" s="110"/>
      <x:c r="M368" s="108" t="str">
        <x:v>No</x:v>
      </x:c>
      <x:c r="N368" s="108" t="str"/>
      <x:c r="O368" s="108" t="str">
        <x:v>V2 audit + best practice</x:v>
      </x:c>
      <x:c r="P368" s="108" t="str">
        <x:v>SRC-02</x:v>
      </x:c>
      <x:c r="Q368" s="108" t="str"/>
      <x:c r="R368" s="108" t="str">
        <x:v>20 — Templates &amp; Asset Library</x:v>
      </x:c>
      <x:c r="S368" s="110" t="str">
        <x:v>ChatGPT prefill · 06 Oct 2026</x:v>
      </x:c>
    </x:row>
    <x:row r="369" ht="36" customHeight="1">
      <x:c r="A369" s="107" t="str">
        <x:v>Y01</x:v>
      </x:c>
      <x:c r="B369" s="107" t="str">
        <x:v>Intellectual property and legal controls</x:v>
      </x:c>
      <x:c r="C369" s="107" t="str">
        <x:v>Approval / Legal gate</x:v>
      </x:c>
      <x:c r="D369" s="108" t="str">
        <x:v>Has GEM™ trademark availability/registration been legally reviewed in target markets?</x:v>
      </x:c>
      <x:c r="E369" s="108" t="str">
        <x:v>Confirm / commission legal review</x:v>
      </x:c>
      <x:c r="F369" s="109" t="str">
        <x:v>Needs evidence</x:v>
      </x:c>
      <x:c r="G369" s="110"/>
      <x:c r="H369" s="108" t="str">
        <x:f>IF(F369="Approve recommendation",E369,IF(F369="Modify / custom answer",G369,IF(F369="Reject","Rejected",IF(F369="Defer","Deferred",IF(F369="Needs evidence","Pending evidence","")))))</x:f>
        <x:v>Pending evidence</x:v>
      </x:c>
      <x:c r="I369" s="107" t="str">
        <x:f>IF(F369="","Pending",IF(F369="Approve recommendation","Approved",IF(F369="Modify / custom answer",IF(G369="","Action Required","Approved with modification"),IF(F369="Reject","Rejected",IF(F369="Defer","Deferred",IF(F369="Needs evidence","Evidence Required","Pending"))))))</x:f>
        <x:v>Evidence Required</x:v>
      </x:c>
      <x:c r="J369" s="107" t="str">
        <x:v>Critical</x:v>
      </x:c>
      <x:c r="K369" s="110" t="str">
        <x:v>Legal / IP Counsel</x:v>
      </x:c>
      <x:c r="L369" s="110" t="str">
        <x:v>No target-market trademark clearance evidence was supplied. Commission legal trademark/distinctiveness review.</x:v>
      </x:c>
      <x:c r="M369" s="108" t="str">
        <x:v>Yes</x:v>
      </x:c>
      <x:c r="N369" s="108" t="str"/>
      <x:c r="O369" s="108" t="str">
        <x:v>Best-practice / legal validation</x:v>
      </x:c>
      <x:c r="P369" s="108" t="str">
        <x:v>BEN-ALL</x:v>
      </x:c>
      <x:c r="Q369" s="108" t="str"/>
      <x:c r="R369" s="108" t="str">
        <x:v>21 — Governance &amp; Approval Workflow</x:v>
      </x:c>
      <x:c r="S369" s="110" t="str">
        <x:v>ChatGPT prefill · 06 Oct 2026</x:v>
      </x:c>
    </x:row>
    <x:row r="370" ht="36" customHeight="1">
      <x:c r="A370" s="107" t="str">
        <x:v>Y02</x:v>
      </x:c>
      <x:c r="B370" s="107" t="str">
        <x:v>Intellectual property and legal controls</x:v>
      </x:c>
      <x:c r="C370" s="107" t="str">
        <x:v>Approval / Legal gate</x:v>
      </x:c>
      <x:c r="D370" s="108" t="str">
        <x:v>Is ownership of the logo artwork documented?</x:v>
      </x:c>
      <x:c r="E370" s="108" t="str">
        <x:v>Must be confirmed</x:v>
      </x:c>
      <x:c r="F370" s="109" t="str">
        <x:v>Needs evidence</x:v>
      </x:c>
      <x:c r="G370" s="110"/>
      <x:c r="H370" s="108" t="str">
        <x:f>IF(F370="Approve recommendation",E370,IF(F370="Modify / custom answer",G370,IF(F370="Reject","Rejected",IF(F370="Defer","Deferred",IF(F370="Needs evidence","Pending evidence","")))))</x:f>
        <x:v>Pending evidence</x:v>
      </x:c>
      <x:c r="I370" s="107" t="str">
        <x:f>IF(F370="","Pending",IF(F370="Approve recommendation","Approved",IF(F370="Modify / custom answer",IF(G370="","Action Required","Approved with modification"),IF(F370="Reject","Rejected",IF(F370="Defer","Deferred",IF(F370="Needs evidence","Evidence Required","Pending"))))))</x:f>
        <x:v>Evidence Required</x:v>
      </x:c>
      <x:c r="J370" s="107" t="str">
        <x:v>Critical</x:v>
      </x:c>
      <x:c r="K370" s="110" t="str">
        <x:v>Brand Owner + Legal / IP Counsel</x:v>
      </x:c>
      <x:c r="L370" s="110" t="str">
        <x:v>No executed ownership/assignment evidence for the logo artwork was supplied.</x:v>
      </x:c>
      <x:c r="M370" s="108" t="str">
        <x:v>Yes</x:v>
      </x:c>
      <x:c r="N370" s="108" t="str"/>
      <x:c r="O370" s="108" t="str">
        <x:v>Best-practice / legal validation</x:v>
      </x:c>
      <x:c r="P370" s="108" t="str">
        <x:v>BEN-ALL</x:v>
      </x:c>
      <x:c r="Q370" s="108" t="str"/>
      <x:c r="R370" s="108" t="str">
        <x:v>21 — Governance &amp; Approval Workflow</x:v>
      </x:c>
      <x:c r="S370" s="110" t="str">
        <x:v>ChatGPT prefill · 06 Oct 2026</x:v>
      </x:c>
    </x:row>
    <x:row r="371" ht="36" customHeight="1">
      <x:c r="A371" s="107" t="str">
        <x:v>Y03</x:v>
      </x:c>
      <x:c r="B371" s="107" t="str">
        <x:v>Intellectual property and legal controls</x:v>
      </x:c>
      <x:c r="C371" s="107" t="str">
        <x:v>Approval / Legal gate</x:v>
      </x:c>
      <x:c r="D371" s="108" t="str">
        <x:v>Are all font licenses adequate for intended print/web/app use?</x:v>
      </x:c>
      <x:c r="E371" s="108" t="str">
        <x:v>Must be confirmed</x:v>
      </x:c>
      <x:c r="F371" s="109" t="str">
        <x:v>Needs evidence</x:v>
      </x:c>
      <x:c r="G371" s="110"/>
      <x:c r="H371" s="108" t="str">
        <x:f>IF(F371="Approve recommendation",E371,IF(F371="Modify / custom answer",G371,IF(F371="Reject","Rejected",IF(F371="Defer","Deferred",IF(F371="Needs evidence","Pending evidence","")))))</x:f>
        <x:v>Pending evidence</x:v>
      </x:c>
      <x:c r="I371" s="107" t="str">
        <x:f>IF(F371="","Pending",IF(F371="Approve recommendation","Approved",IF(F371="Modify / custom answer",IF(G371="","Action Required","Approved with modification"),IF(F371="Reject","Rejected",IF(F371="Defer","Deferred",IF(F371="Needs evidence","Evidence Required","Pending"))))))</x:f>
        <x:v>Evidence Required</x:v>
      </x:c>
      <x:c r="J371" s="107" t="str">
        <x:v>Critical</x:v>
      </x:c>
      <x:c r="K371" s="110" t="str">
        <x:v>Design Custodian + Legal / IP Counsel</x:v>
      </x:c>
      <x:c r="L371" s="110" t="str">
        <x:v>The sources mention OFL font material, but the exact final builds and all intended distribution/deployment uses still require verification.</x:v>
      </x:c>
      <x:c r="M371" s="108" t="str">
        <x:v>Yes</x:v>
      </x:c>
      <x:c r="N371" s="108" t="str"/>
      <x:c r="O371" s="108" t="str">
        <x:v>Best-practice / legal validation</x:v>
      </x:c>
      <x:c r="P371" s="108" t="str">
        <x:v>BEN-ALL</x:v>
      </x:c>
      <x:c r="Q371" s="108" t="str"/>
      <x:c r="R371" s="108" t="str">
        <x:v>21 — Governance &amp; Approval Workflow</x:v>
      </x:c>
      <x:c r="S371" s="110" t="str">
        <x:v>ChatGPT prefill · 06 Oct 2026</x:v>
      </x:c>
    </x:row>
    <x:row r="372" ht="36" customHeight="1">
      <x:c r="A372" s="107" t="str">
        <x:v>Y04</x:v>
      </x:c>
      <x:c r="B372" s="107" t="str">
        <x:v>Intellectual property and legal controls</x:v>
      </x:c>
      <x:c r="C372" s="107" t="str">
        <x:v>Approval / Legal gate</x:v>
      </x:c>
      <x:c r="D372" s="108" t="str">
        <x:v>Are image/model/property rights documented?</x:v>
      </x:c>
      <x:c r="E372" s="108" t="str">
        <x:v>Required</x:v>
      </x:c>
      <x:c r="F372" s="109" t="str">
        <x:v>Needs evidence</x:v>
      </x:c>
      <x:c r="G372" s="110"/>
      <x:c r="H372" s="108" t="str">
        <x:f>IF(F372="Approve recommendation",E372,IF(F372="Modify / custom answer",G372,IF(F372="Reject","Rejected",IF(F372="Defer","Deferred",IF(F372="Needs evidence","Pending evidence","")))))</x:f>
        <x:v>Pending evidence</x:v>
      </x:c>
      <x:c r="I372" s="107" t="str">
        <x:f>IF(F372="","Pending",IF(F372="Approve recommendation","Approved",IF(F372="Modify / custom answer",IF(G372="","Action Required","Approved with modification"),IF(F372="Reject","Rejected",IF(F372="Defer","Deferred",IF(F372="Needs evidence","Evidence Required","Pending"))))))</x:f>
        <x:v>Evidence Required</x:v>
      </x:c>
      <x:c r="J372" s="107" t="str">
        <x:v>Critical</x:v>
      </x:c>
      <x:c r="K372" s="110" t="str">
        <x:v>Design Custodian / Art Direction + Legal / IP Counsel</x:v>
      </x:c>
      <x:c r="L372" s="110" t="str">
        <x:v>A complete image/model/property rights register was not supplied.</x:v>
      </x:c>
      <x:c r="M372" s="108" t="str">
        <x:v>Yes</x:v>
      </x:c>
      <x:c r="N372" s="108" t="str"/>
      <x:c r="O372" s="108" t="str">
        <x:v>Best-practice / legal validation</x:v>
      </x:c>
      <x:c r="P372" s="108" t="str">
        <x:v>BEN-ALL</x:v>
      </x:c>
      <x:c r="Q372" s="108" t="str"/>
      <x:c r="R372" s="108" t="str">
        <x:v>21 — Governance &amp; Approval Workflow</x:v>
      </x:c>
      <x:c r="S372" s="110" t="str">
        <x:v>ChatGPT prefill · 06 Oct 2026</x:v>
      </x:c>
    </x:row>
    <x:row r="373" ht="36" customHeight="1">
      <x:c r="A373" s="107" t="str">
        <x:v>Y05</x:v>
      </x:c>
      <x:c r="B373" s="107" t="str">
        <x:v>Intellectual property and legal controls</x:v>
      </x:c>
      <x:c r="C373" s="107" t="str">
        <x:v>Approval / Legal gate</x:v>
      </x:c>
      <x:c r="D373" s="108" t="str">
        <x:v>Are packaging regulatory requirements assigned to a responsible party?</x:v>
      </x:c>
      <x:c r="E373" s="108" t="str">
        <x:v>Yes</x:v>
      </x:c>
      <x:c r="F373" s="109" t="str">
        <x:v>Modify / custom answer</x:v>
      </x:c>
      <x:c r="G373" s="110" t="str">
        <x:v>Yes — assign packaging regulatory requirements to the Product/Amenities Lead, with Legal/Regulatory review and Brand Owner release control.</x:v>
      </x:c>
      <x:c r="H373" s="108" t="str">
        <x:f>IF(F373="Approve recommendation",E373,IF(F373="Modify / custom answer",G373,IF(F373="Reject","Rejected",IF(F373="Defer","Deferred",IF(F373="Needs evidence","Pending evidence","")))))</x:f>
        <x:v>Yes — assign packaging regulatory requirements to the Product/Amenities Lead, with Legal/Regulatory review and Brand Owner release control.</x:v>
      </x:c>
      <x:c r="I373" s="107" t="str">
        <x:f>IF(F373="","Pending",IF(F373="Approve recommendation","Approved",IF(F373="Modify / custom answer",IF(G373="","Action Required","Approved with modification"),IF(F373="Reject","Rejected",IF(F373="Defer","Deferred",IF(F373="Needs evidence","Evidence Required","Pending"))))))</x:f>
        <x:v>Approved with modification</x:v>
      </x:c>
      <x:c r="J373" s="107" t="str">
        <x:v>Critical</x:v>
      </x:c>
      <x:c r="K373" s="110" t="str">
        <x:v>Legal / IP Counsel + Brand Owner</x:v>
      </x:c>
      <x:c r="L373" s="110" t="str">
        <x:v>Approved as the V3.0 consultant recommendation, grounded in the current GEM source system and best-practice review.</x:v>
      </x:c>
      <x:c r="M373" s="108" t="str">
        <x:v>Yes</x:v>
      </x:c>
      <x:c r="N373" s="108" t="str"/>
      <x:c r="O373" s="108" t="str">
        <x:v>Best-practice / legal validation</x:v>
      </x:c>
      <x:c r="P373" s="108" t="str">
        <x:v>BEN-ALL</x:v>
      </x:c>
      <x:c r="Q373" s="108" t="str"/>
      <x:c r="R373" s="108" t="str">
        <x:v>21 — Governance &amp; Approval Workflow</x:v>
      </x:c>
      <x:c r="S373" s="110" t="str">
        <x:v>ChatGPT prefill · 06 Oct 2026</x:v>
      </x:c>
    </x:row>
    <x:row r="374" ht="36" customHeight="1">
      <x:c r="A374" s="107" t="str">
        <x:v>Y06</x:v>
      </x:c>
      <x:c r="B374" s="107" t="str">
        <x:v>Intellectual property and legal controls</x:v>
      </x:c>
      <x:c r="C374" s="107" t="str">
        <x:v>Approval / Legal gate</x:v>
      </x:c>
      <x:c r="D374" s="108" t="str">
        <x:v>Are suppliers prohibited from reusing GEM artwork outside approved work?</x:v>
      </x:c>
      <x:c r="E374" s="108" t="str">
        <x:v>Yes, contractually where appropriate</x:v>
      </x:c>
      <x:c r="F374" s="109" t="str">
        <x:v>Approve recommendation</x:v>
      </x:c>
      <x:c r="G374" s="110"/>
      <x:c r="H374" s="108" t="str">
        <x:f>IF(F374="Approve recommendation",E374,IF(F374="Modify / custom answer",G374,IF(F374="Reject","Rejected",IF(F374="Defer","Deferred",IF(F374="Needs evidence","Pending evidence","")))))</x:f>
        <x:v>Yes, contractually where appropriate</x:v>
      </x:c>
      <x:c r="I374" s="107" t="str">
        <x:f>IF(F374="","Pending",IF(F374="Approve recommendation","Approved",IF(F374="Modify / custom answer",IF(G374="","Action Required","Approved with modification"),IF(F374="Reject","Rejected",IF(F374="Defer","Deferred",IF(F374="Needs evidence","Evidence Required","Pending"))))))</x:f>
        <x:v>Approved</x:v>
      </x:c>
      <x:c r="J374" s="107" t="str">
        <x:v>Critical</x:v>
      </x:c>
      <x:c r="K374" s="110" t="str">
        <x:v>Legal / IP Counsel + Brand Owner</x:v>
      </x:c>
      <x:c r="L374" s="110"/>
      <x:c r="M374" s="108" t="str">
        <x:v>Yes</x:v>
      </x:c>
      <x:c r="N374" s="108" t="str"/>
      <x:c r="O374" s="108" t="str">
        <x:v>Best-practice / legal validation</x:v>
      </x:c>
      <x:c r="P374" s="108" t="str">
        <x:v>BEN-ALL</x:v>
      </x:c>
      <x:c r="Q374" s="108" t="str"/>
      <x:c r="R374" s="108" t="str">
        <x:v>21 — Governance &amp; Approval Workflow</x:v>
      </x:c>
      <x:c r="S374" s="110" t="str">
        <x:v>ChatGPT prefill · 06 Oct 2026</x:v>
      </x:c>
    </x:row>
    <x:row r="375" ht="36" customHeight="1">
      <x:c r="A375" s="107" t="str">
        <x:v>Y07</x:v>
      </x:c>
      <x:c r="B375" s="107" t="str">
        <x:v>Intellectual property and legal controls</x:v>
      </x:c>
      <x:c r="C375" s="107" t="str">
        <x:v>Approval / Legal gate</x:v>
      </x:c>
      <x:c r="D375" s="108" t="str">
        <x:v>Should final artwork carry copyright/trademark notices where appropriate?</x:v>
      </x:c>
      <x:c r="E375" s="108" t="str">
        <x:v>Yes</x:v>
      </x:c>
      <x:c r="F375" s="109" t="str">
        <x:v>Approve recommendation</x:v>
      </x:c>
      <x:c r="G375" s="110"/>
      <x:c r="H375" s="108" t="str">
        <x:f>IF(F375="Approve recommendation",E375,IF(F375="Modify / custom answer",G375,IF(F375="Reject","Rejected",IF(F375="Defer","Deferred",IF(F375="Needs evidence","Pending evidence","")))))</x:f>
        <x:v>Yes</x:v>
      </x:c>
      <x:c r="I375" s="107" t="str">
        <x:f>IF(F375="","Pending",IF(F375="Approve recommendation","Approved",IF(F375="Modify / custom answer",IF(G375="","Action Required","Approved with modification"),IF(F375="Reject","Rejected",IF(F375="Defer","Deferred",IF(F375="Needs evidence","Evidence Required","Pending"))))))</x:f>
        <x:v>Approved</x:v>
      </x:c>
      <x:c r="J375" s="107" t="str">
        <x:v>Critical</x:v>
      </x:c>
      <x:c r="K375" s="110" t="str">
        <x:v>Legal / IP Counsel + Brand Owner</x:v>
      </x:c>
      <x:c r="L375" s="110"/>
      <x:c r="M375" s="108" t="str">
        <x:v>Yes</x:v>
      </x:c>
      <x:c r="N375" s="108" t="str"/>
      <x:c r="O375" s="108" t="str">
        <x:v>Best-practice / legal validation</x:v>
      </x:c>
      <x:c r="P375" s="108" t="str">
        <x:v>BEN-ALL</x:v>
      </x:c>
      <x:c r="Q375" s="108" t="str"/>
      <x:c r="R375" s="108" t="str">
        <x:v>21 — Governance &amp; Approval Workflow</x:v>
      </x:c>
      <x:c r="S375" s="110" t="str">
        <x:v>ChatGPT prefill · 06 Oct 2026</x:v>
      </x:c>
    </x:row>
    <x:row r="376" ht="36" customHeight="1">
      <x:c r="A376" s="107" t="str">
        <x:v>Y08</x:v>
      </x:c>
      <x:c r="B376" s="107" t="str">
        <x:v>Intellectual property and legal controls</x:v>
      </x:c>
      <x:c r="C376" s="107" t="str">
        <x:v>Approval / Legal gate</x:v>
      </x:c>
      <x:c r="D376" s="108" t="str">
        <x:v>Should legal approval become a release dependency where claims/regulatory information is involved?</x:v>
      </x:c>
      <x:c r="E376" s="108" t="str">
        <x:v>Yes</x:v>
      </x:c>
      <x:c r="F376" s="109" t="str">
        <x:v>Approve recommendation</x:v>
      </x:c>
      <x:c r="G376" s="110"/>
      <x:c r="H376" s="108" t="str">
        <x:f>IF(F376="Approve recommendation",E376,IF(F376="Modify / custom answer",G376,IF(F376="Reject","Rejected",IF(F376="Defer","Deferred",IF(F376="Needs evidence","Pending evidence","")))))</x:f>
        <x:v>Yes</x:v>
      </x:c>
      <x:c r="I376" s="107" t="str">
        <x:f>IF(F376="","Pending",IF(F376="Approve recommendation","Approved",IF(F376="Modify / custom answer",IF(G376="","Action Required","Approved with modification"),IF(F376="Reject","Rejected",IF(F376="Defer","Deferred",IF(F376="Needs evidence","Evidence Required","Pending"))))))</x:f>
        <x:v>Approved</x:v>
      </x:c>
      <x:c r="J376" s="107" t="str">
        <x:v>Critical</x:v>
      </x:c>
      <x:c r="K376" s="110" t="str">
        <x:v>Legal / IP Counsel + Brand Owner</x:v>
      </x:c>
      <x:c r="L376" s="110"/>
      <x:c r="M376" s="108" t="str">
        <x:v>Yes</x:v>
      </x:c>
      <x:c r="N376" s="108" t="str"/>
      <x:c r="O376" s="108" t="str">
        <x:v>Best-practice / legal validation</x:v>
      </x:c>
      <x:c r="P376" s="108" t="str">
        <x:v>BEN-ALL</x:v>
      </x:c>
      <x:c r="Q376" s="108" t="str"/>
      <x:c r="R376" s="108" t="str">
        <x:v>21 — Governance &amp; Approval Workflow</x:v>
      </x:c>
      <x:c r="S376" s="110" t="str">
        <x:v>ChatGPT prefill · 06 Oct 2026</x:v>
      </x:c>
    </x:row>
    <x:row r="377" ht="36" customHeight="1">
      <x:c r="A377" s="107" t="str">
        <x:v>Z01</x:v>
      </x:c>
      <x:c r="B377" s="107" t="str">
        <x:v>Final V3.0 guideline structure</x:v>
      </x:c>
      <x:c r="C377" s="107" t="str">
        <x:v>Scope / deliverable</x:v>
      </x:c>
      <x:c r="D377" s="108" t="str">
        <x:v>Include 01 — Introduction &amp; Governance chapter?</x:v>
      </x:c>
      <x:c r="E377" s="108" t="str">
        <x:v>Yes</x:v>
      </x:c>
      <x:c r="F377" s="109" t="str">
        <x:v>Approve recommendation</x:v>
      </x:c>
      <x:c r="G377" s="110"/>
      <x:c r="H377" s="108" t="str">
        <x:f>IF(F377="Approve recommendation",E377,IF(F377="Modify / custom answer",G377,IF(F377="Reject","Rejected",IF(F377="Defer","Deferred",IF(F377="Needs evidence","Pending evidence","")))))</x:f>
        <x:v>Yes</x:v>
      </x:c>
      <x:c r="I377" s="107" t="str">
        <x:f>IF(F377="","Pending",IF(F377="Approve recommendation","Approved",IF(F377="Modify / custom answer",IF(G377="","Action Required","Approved with modification"),IF(F377="Reject","Rejected",IF(F377="Defer","Deferred",IF(F377="Needs evidence","Evidence Required","Pending"))))))</x:f>
        <x:v>Approved</x:v>
      </x:c>
      <x:c r="J377" s="107" t="str">
        <x:v>High</x:v>
      </x:c>
      <x:c r="K377" s="110" t="str">
        <x:v>Brand Owner + Design Custodian</x:v>
      </x:c>
      <x:c r="L377" s="110"/>
      <x:c r="M377" s="108" t="str">
        <x:v>No</x:v>
      </x:c>
      <x:c r="N377" s="108" t="str"/>
      <x:c r="O377" s="108" t="str">
        <x:v>V2.1 proposed structure</x:v>
      </x:c>
      <x:c r="P377" s="108" t="str"/>
      <x:c r="Q377" s="108" t="str"/>
      <x:c r="R377" s="108" t="str">
        <x:v>22 — Technical Specifications</x:v>
      </x:c>
      <x:c r="S377" s="110" t="str">
        <x:v>ChatGPT prefill · 06 Oct 2026</x:v>
      </x:c>
    </x:row>
    <x:row r="378" ht="36" customHeight="1">
      <x:c r="A378" s="107" t="str">
        <x:v>Z02</x:v>
      </x:c>
      <x:c r="B378" s="107" t="str">
        <x:v>Final V3.0 guideline structure</x:v>
      </x:c>
      <x:c r="C378" s="107" t="str">
        <x:v>Scope / deliverable</x:v>
      </x:c>
      <x:c r="D378" s="108" t="str">
        <x:v>Include 02 — Brand Strategy chapter?</x:v>
      </x:c>
      <x:c r="E378" s="108" t="str">
        <x:v>Yes</x:v>
      </x:c>
      <x:c r="F378" s="109" t="str">
        <x:v>Approve recommendation</x:v>
      </x:c>
      <x:c r="G378" s="110"/>
      <x:c r="H378" s="108" t="str">
        <x:f>IF(F378="Approve recommendation",E378,IF(F378="Modify / custom answer",G378,IF(F378="Reject","Rejected",IF(F378="Defer","Deferred",IF(F378="Needs evidence","Pending evidence","")))))</x:f>
        <x:v>Yes</x:v>
      </x:c>
      <x:c r="I378" s="107" t="str">
        <x:f>IF(F378="","Pending",IF(F378="Approve recommendation","Approved",IF(F378="Modify / custom answer",IF(G378="","Action Required","Approved with modification"),IF(F378="Reject","Rejected",IF(F378="Defer","Deferred",IF(F378="Needs evidence","Evidence Required","Pending"))))))</x:f>
        <x:v>Approved</x:v>
      </x:c>
      <x:c r="J378" s="107" t="str">
        <x:v>High</x:v>
      </x:c>
      <x:c r="K378" s="110" t="str">
        <x:v>Brand Owner + Design Custodian</x:v>
      </x:c>
      <x:c r="L378" s="110"/>
      <x:c r="M378" s="108" t="str">
        <x:v>No</x:v>
      </x:c>
      <x:c r="N378" s="108" t="str"/>
      <x:c r="O378" s="108" t="str">
        <x:v>V2.1 proposed structure</x:v>
      </x:c>
      <x:c r="P378" s="108" t="str"/>
      <x:c r="Q378" s="108" t="str"/>
      <x:c r="R378" s="108" t="str">
        <x:v>22 — Technical Specifications</x:v>
      </x:c>
      <x:c r="S378" s="110" t="str">
        <x:v>ChatGPT prefill · 06 Oct 2026</x:v>
      </x:c>
    </x:row>
    <x:row r="379" ht="36" customHeight="1">
      <x:c r="A379" s="107" t="str">
        <x:v>Z03</x:v>
      </x:c>
      <x:c r="B379" s="107" t="str">
        <x:v>Final V3.0 guideline structure</x:v>
      </x:c>
      <x:c r="C379" s="107" t="str">
        <x:v>Scope / deliverable</x:v>
      </x:c>
      <x:c r="D379" s="108" t="str">
        <x:v>Include 03 — Brand Architecture chapter?</x:v>
      </x:c>
      <x:c r="E379" s="108" t="str">
        <x:v>Yes</x:v>
      </x:c>
      <x:c r="F379" s="109" t="str">
        <x:v>Approve recommendation</x:v>
      </x:c>
      <x:c r="G379" s="110"/>
      <x:c r="H379" s="108" t="str">
        <x:f>IF(F379="Approve recommendation",E379,IF(F379="Modify / custom answer",G379,IF(F379="Reject","Rejected",IF(F379="Defer","Deferred",IF(F379="Needs evidence","Pending evidence","")))))</x:f>
        <x:v>Yes</x:v>
      </x:c>
      <x:c r="I379" s="107" t="str">
        <x:f>IF(F379="","Pending",IF(F379="Approve recommendation","Approved",IF(F379="Modify / custom answer",IF(G379="","Action Required","Approved with modification"),IF(F379="Reject","Rejected",IF(F379="Defer","Deferred",IF(F379="Needs evidence","Evidence Required","Pending"))))))</x:f>
        <x:v>Approved</x:v>
      </x:c>
      <x:c r="J379" s="107" t="str">
        <x:v>High</x:v>
      </x:c>
      <x:c r="K379" s="110" t="str">
        <x:v>Brand Owner + Design Custodian</x:v>
      </x:c>
      <x:c r="L379" s="110"/>
      <x:c r="M379" s="108" t="str">
        <x:v>No</x:v>
      </x:c>
      <x:c r="N379" s="108" t="str"/>
      <x:c r="O379" s="108" t="str">
        <x:v>V2.1 proposed structure</x:v>
      </x:c>
      <x:c r="P379" s="108" t="str"/>
      <x:c r="Q379" s="108" t="str"/>
      <x:c r="R379" s="108" t="str">
        <x:v>22 — Technical Specifications</x:v>
      </x:c>
      <x:c r="S379" s="110" t="str">
        <x:v>ChatGPT prefill · 06 Oct 2026</x:v>
      </x:c>
    </x:row>
    <x:row r="380" ht="36" customHeight="1">
      <x:c r="A380" s="107" t="str">
        <x:v>Z04</x:v>
      </x:c>
      <x:c r="B380" s="107" t="str">
        <x:v>Final V3.0 guideline structure</x:v>
      </x:c>
      <x:c r="C380" s="107" t="str">
        <x:v>Scope / deliverable</x:v>
      </x:c>
      <x:c r="D380" s="108" t="str">
        <x:v>Include 04 — Audience &amp; Journey chapter?</x:v>
      </x:c>
      <x:c r="E380" s="108" t="str">
        <x:v>Yes</x:v>
      </x:c>
      <x:c r="F380" s="109" t="str">
        <x:v>Approve recommendation</x:v>
      </x:c>
      <x:c r="G380" s="110"/>
      <x:c r="H380" s="108" t="str">
        <x:f>IF(F380="Approve recommendation",E380,IF(F380="Modify / custom answer",G380,IF(F380="Reject","Rejected",IF(F380="Defer","Deferred",IF(F380="Needs evidence","Pending evidence","")))))</x:f>
        <x:v>Yes</x:v>
      </x:c>
      <x:c r="I380" s="107" t="str">
        <x:f>IF(F380="","Pending",IF(F380="Approve recommendation","Approved",IF(F380="Modify / custom answer",IF(G380="","Action Required","Approved with modification"),IF(F380="Reject","Rejected",IF(F380="Defer","Deferred",IF(F380="Needs evidence","Evidence Required","Pending"))))))</x:f>
        <x:v>Approved</x:v>
      </x:c>
      <x:c r="J380" s="107" t="str">
        <x:v>High</x:v>
      </x:c>
      <x:c r="K380" s="110" t="str">
        <x:v>Brand Owner + Design Custodian</x:v>
      </x:c>
      <x:c r="L380" s="110"/>
      <x:c r="M380" s="108" t="str">
        <x:v>No</x:v>
      </x:c>
      <x:c r="N380" s="108" t="str"/>
      <x:c r="O380" s="108" t="str">
        <x:v>V2.1 proposed structure</x:v>
      </x:c>
      <x:c r="P380" s="108" t="str"/>
      <x:c r="Q380" s="108" t="str"/>
      <x:c r="R380" s="108" t="str">
        <x:v>22 — Technical Specifications</x:v>
      </x:c>
      <x:c r="S380" s="110" t="str">
        <x:v>ChatGPT prefill · 06 Oct 2026</x:v>
      </x:c>
    </x:row>
    <x:row r="381" ht="36" customHeight="1">
      <x:c r="A381" s="107" t="str">
        <x:v>Z05</x:v>
      </x:c>
      <x:c r="B381" s="107" t="str">
        <x:v>Final V3.0 guideline structure</x:v>
      </x:c>
      <x:c r="C381" s="107" t="str">
        <x:v>Scope / deliverable</x:v>
      </x:c>
      <x:c r="D381" s="108" t="str">
        <x:v>Include 05 — Verbal Identity chapter?</x:v>
      </x:c>
      <x:c r="E381" s="108" t="str">
        <x:v>Yes</x:v>
      </x:c>
      <x:c r="F381" s="109" t="str">
        <x:v>Approve recommendation</x:v>
      </x:c>
      <x:c r="G381" s="110"/>
      <x:c r="H381" s="108" t="str">
        <x:f>IF(F381="Approve recommendation",E381,IF(F381="Modify / custom answer",G381,IF(F381="Reject","Rejected",IF(F381="Defer","Deferred",IF(F381="Needs evidence","Pending evidence","")))))</x:f>
        <x:v>Yes</x:v>
      </x:c>
      <x:c r="I381" s="107" t="str">
        <x:f>IF(F381="","Pending",IF(F381="Approve recommendation","Approved",IF(F381="Modify / custom answer",IF(G381="","Action Required","Approved with modification"),IF(F381="Reject","Rejected",IF(F381="Defer","Deferred",IF(F381="Needs evidence","Evidence Required","Pending"))))))</x:f>
        <x:v>Approved</x:v>
      </x:c>
      <x:c r="J381" s="107" t="str">
        <x:v>High</x:v>
      </x:c>
      <x:c r="K381" s="110" t="str">
        <x:v>Brand Owner + Design Custodian</x:v>
      </x:c>
      <x:c r="L381" s="110"/>
      <x:c r="M381" s="108" t="str">
        <x:v>No</x:v>
      </x:c>
      <x:c r="N381" s="108" t="str"/>
      <x:c r="O381" s="108" t="str">
        <x:v>V2.1 proposed structure</x:v>
      </x:c>
      <x:c r="P381" s="108" t="str"/>
      <x:c r="Q381" s="108" t="str"/>
      <x:c r="R381" s="108" t="str">
        <x:v>22 — Technical Specifications</x:v>
      </x:c>
      <x:c r="S381" s="110" t="str">
        <x:v>ChatGPT prefill · 06 Oct 2026</x:v>
      </x:c>
    </x:row>
    <x:row r="382" ht="36" customHeight="1">
      <x:c r="A382" s="107" t="str">
        <x:v>Z06</x:v>
      </x:c>
      <x:c r="B382" s="107" t="str">
        <x:v>Final V3.0 guideline structure</x:v>
      </x:c>
      <x:c r="C382" s="107" t="str">
        <x:v>Scope / deliverable</x:v>
      </x:c>
      <x:c r="D382" s="108" t="str">
        <x:v>Include 06 — Logo System chapter?</x:v>
      </x:c>
      <x:c r="E382" s="108" t="str">
        <x:v>Yes</x:v>
      </x:c>
      <x:c r="F382" s="109" t="str">
        <x:v>Approve recommendation</x:v>
      </x:c>
      <x:c r="G382" s="110"/>
      <x:c r="H382" s="108" t="str">
        <x:f>IF(F382="Approve recommendation",E382,IF(F382="Modify / custom answer",G382,IF(F382="Reject","Rejected",IF(F382="Defer","Deferred",IF(F382="Needs evidence","Pending evidence","")))))</x:f>
        <x:v>Yes</x:v>
      </x:c>
      <x:c r="I382" s="107" t="str">
        <x:f>IF(F382="","Pending",IF(F382="Approve recommendation","Approved",IF(F382="Modify / custom answer",IF(G382="","Action Required","Approved with modification"),IF(F382="Reject","Rejected",IF(F382="Defer","Deferred",IF(F382="Needs evidence","Evidence Required","Pending"))))))</x:f>
        <x:v>Approved</x:v>
      </x:c>
      <x:c r="J382" s="107" t="str">
        <x:v>High</x:v>
      </x:c>
      <x:c r="K382" s="110" t="str">
        <x:v>Brand Owner + Design Custodian</x:v>
      </x:c>
      <x:c r="L382" s="110"/>
      <x:c r="M382" s="108" t="str">
        <x:v>No</x:v>
      </x:c>
      <x:c r="N382" s="108" t="str"/>
      <x:c r="O382" s="108" t="str">
        <x:v>V2.1 proposed structure</x:v>
      </x:c>
      <x:c r="P382" s="108" t="str"/>
      <x:c r="Q382" s="108" t="str"/>
      <x:c r="R382" s="108" t="str">
        <x:v>22 — Technical Specifications</x:v>
      </x:c>
      <x:c r="S382" s="110" t="str">
        <x:v>ChatGPT prefill · 06 Oct 2026</x:v>
      </x:c>
    </x:row>
    <x:row r="383" ht="36" customHeight="1">
      <x:c r="A383" s="107" t="str">
        <x:v>Z07</x:v>
      </x:c>
      <x:c r="B383" s="107" t="str">
        <x:v>Final V3.0 guideline structure</x:v>
      </x:c>
      <x:c r="C383" s="107" t="str">
        <x:v>Scope / deliverable</x:v>
      </x:c>
      <x:c r="D383" s="108" t="str">
        <x:v>Include 07 — Color chapter?</x:v>
      </x:c>
      <x:c r="E383" s="108" t="str">
        <x:v>Yes</x:v>
      </x:c>
      <x:c r="F383" s="109" t="str">
        <x:v>Approve recommendation</x:v>
      </x:c>
      <x:c r="G383" s="110"/>
      <x:c r="H383" s="108" t="str">
        <x:f>IF(F383="Approve recommendation",E383,IF(F383="Modify / custom answer",G383,IF(F383="Reject","Rejected",IF(F383="Defer","Deferred",IF(F383="Needs evidence","Pending evidence","")))))</x:f>
        <x:v>Yes</x:v>
      </x:c>
      <x:c r="I383" s="107" t="str">
        <x:f>IF(F383="","Pending",IF(F383="Approve recommendation","Approved",IF(F383="Modify / custom answer",IF(G383="","Action Required","Approved with modification"),IF(F383="Reject","Rejected",IF(F383="Defer","Deferred",IF(F383="Needs evidence","Evidence Required","Pending"))))))</x:f>
        <x:v>Approved</x:v>
      </x:c>
      <x:c r="J383" s="107" t="str">
        <x:v>High</x:v>
      </x:c>
      <x:c r="K383" s="110" t="str">
        <x:v>Brand Owner + Design Custodian</x:v>
      </x:c>
      <x:c r="L383" s="110"/>
      <x:c r="M383" s="108" t="str">
        <x:v>No</x:v>
      </x:c>
      <x:c r="N383" s="108" t="str"/>
      <x:c r="O383" s="108" t="str">
        <x:v>V2.1 proposed structure</x:v>
      </x:c>
      <x:c r="P383" s="108" t="str"/>
      <x:c r="Q383" s="108" t="str"/>
      <x:c r="R383" s="108" t="str">
        <x:v>22 — Technical Specifications</x:v>
      </x:c>
      <x:c r="S383" s="110" t="str">
        <x:v>ChatGPT prefill · 06 Oct 2026</x:v>
      </x:c>
    </x:row>
    <x:row r="384" ht="36" customHeight="1">
      <x:c r="A384" s="107" t="str">
        <x:v>Z08</x:v>
      </x:c>
      <x:c r="B384" s="107" t="str">
        <x:v>Final V3.0 guideline structure</x:v>
      </x:c>
      <x:c r="C384" s="107" t="str">
        <x:v>Scope / deliverable</x:v>
      </x:c>
      <x:c r="D384" s="108" t="str">
        <x:v>Include 08 — Typography chapter?</x:v>
      </x:c>
      <x:c r="E384" s="108" t="str">
        <x:v>Yes</x:v>
      </x:c>
      <x:c r="F384" s="109" t="str">
        <x:v>Approve recommendation</x:v>
      </x:c>
      <x:c r="G384" s="110"/>
      <x:c r="H384" s="108" t="str">
        <x:f>IF(F384="Approve recommendation",E384,IF(F384="Modify / custom answer",G384,IF(F384="Reject","Rejected",IF(F384="Defer","Deferred",IF(F384="Needs evidence","Pending evidence","")))))</x:f>
        <x:v>Yes</x:v>
      </x:c>
      <x:c r="I384" s="107" t="str">
        <x:f>IF(F384="","Pending",IF(F384="Approve recommendation","Approved",IF(F384="Modify / custom answer",IF(G384="","Action Required","Approved with modification"),IF(F384="Reject","Rejected",IF(F384="Defer","Deferred",IF(F384="Needs evidence","Evidence Required","Pending"))))))</x:f>
        <x:v>Approved</x:v>
      </x:c>
      <x:c r="J384" s="107" t="str">
        <x:v>High</x:v>
      </x:c>
      <x:c r="K384" s="110" t="str">
        <x:v>Brand Owner + Design Custodian</x:v>
      </x:c>
      <x:c r="L384" s="110"/>
      <x:c r="M384" s="108" t="str">
        <x:v>No</x:v>
      </x:c>
      <x:c r="N384" s="108" t="str"/>
      <x:c r="O384" s="108" t="str">
        <x:v>V2.1 proposed structure</x:v>
      </x:c>
      <x:c r="P384" s="108" t="str"/>
      <x:c r="Q384" s="108" t="str"/>
      <x:c r="R384" s="108" t="str">
        <x:v>22 — Technical Specifications</x:v>
      </x:c>
      <x:c r="S384" s="110" t="str">
        <x:v>ChatGPT prefill · 06 Oct 2026</x:v>
      </x:c>
    </x:row>
    <x:row r="385" ht="36" customHeight="1">
      <x:c r="A385" s="107" t="str">
        <x:v>Z09</x:v>
      </x:c>
      <x:c r="B385" s="107" t="str">
        <x:v>Final V3.0 guideline structure</x:v>
      </x:c>
      <x:c r="C385" s="107" t="str">
        <x:v>Scope / deliverable</x:v>
      </x:c>
      <x:c r="D385" s="108" t="str">
        <x:v>Include 09 — Arabic &amp; Bilingual System chapter?</x:v>
      </x:c>
      <x:c r="E385" s="108" t="str">
        <x:v>Yes</x:v>
      </x:c>
      <x:c r="F385" s="109" t="str">
        <x:v>Approve recommendation</x:v>
      </x:c>
      <x:c r="G385" s="110"/>
      <x:c r="H385" s="108" t="str">
        <x:f>IF(F385="Approve recommendation",E385,IF(F385="Modify / custom answer",G385,IF(F385="Reject","Rejected",IF(F385="Defer","Deferred",IF(F385="Needs evidence","Pending evidence","")))))</x:f>
        <x:v>Yes</x:v>
      </x:c>
      <x:c r="I385" s="107" t="str">
        <x:f>IF(F385="","Pending",IF(F385="Approve recommendation","Approved",IF(F385="Modify / custom answer",IF(G385="","Action Required","Approved with modification"),IF(F385="Reject","Rejected",IF(F385="Defer","Deferred",IF(F385="Needs evidence","Evidence Required","Pending"))))))</x:f>
        <x:v>Approved</x:v>
      </x:c>
      <x:c r="J385" s="107" t="str">
        <x:v>High</x:v>
      </x:c>
      <x:c r="K385" s="110" t="str">
        <x:v>Brand Owner + Design Custodian</x:v>
      </x:c>
      <x:c r="L385" s="110"/>
      <x:c r="M385" s="108" t="str">
        <x:v>No</x:v>
      </x:c>
      <x:c r="N385" s="108" t="str"/>
      <x:c r="O385" s="108" t="str">
        <x:v>V2.1 proposed structure</x:v>
      </x:c>
      <x:c r="P385" s="108" t="str"/>
      <x:c r="Q385" s="108" t="str"/>
      <x:c r="R385" s="108" t="str">
        <x:v>22 — Technical Specifications</x:v>
      </x:c>
      <x:c r="S385" s="110" t="str">
        <x:v>ChatGPT prefill · 06 Oct 2026</x:v>
      </x:c>
    </x:row>
    <x:row r="386" ht="36" customHeight="1">
      <x:c r="A386" s="107" t="str">
        <x:v>Z10</x:v>
      </x:c>
      <x:c r="B386" s="107" t="str">
        <x:v>Final V3.0 guideline structure</x:v>
      </x:c>
      <x:c r="C386" s="107" t="str">
        <x:v>Scope / deliverable</x:v>
      </x:c>
      <x:c r="D386" s="108" t="str">
        <x:v>Include 10 — Graphic Language chapter?</x:v>
      </x:c>
      <x:c r="E386" s="108" t="str">
        <x:v>Yes</x:v>
      </x:c>
      <x:c r="F386" s="109" t="str">
        <x:v>Approve recommendation</x:v>
      </x:c>
      <x:c r="G386" s="110"/>
      <x:c r="H386" s="108" t="str">
        <x:f>IF(F386="Approve recommendation",E386,IF(F386="Modify / custom answer",G386,IF(F386="Reject","Rejected",IF(F386="Defer","Deferred",IF(F386="Needs evidence","Pending evidence","")))))</x:f>
        <x:v>Yes</x:v>
      </x:c>
      <x:c r="I386" s="107" t="str">
        <x:f>IF(F386="","Pending",IF(F386="Approve recommendation","Approved",IF(F386="Modify / custom answer",IF(G386="","Action Required","Approved with modification"),IF(F386="Reject","Rejected",IF(F386="Defer","Deferred",IF(F386="Needs evidence","Evidence Required","Pending"))))))</x:f>
        <x:v>Approved</x:v>
      </x:c>
      <x:c r="J386" s="107" t="str">
        <x:v>High</x:v>
      </x:c>
      <x:c r="K386" s="110" t="str">
        <x:v>Brand Owner + Design Custodian</x:v>
      </x:c>
      <x:c r="L386" s="110"/>
      <x:c r="M386" s="108" t="str">
        <x:v>No</x:v>
      </x:c>
      <x:c r="N386" s="108" t="str"/>
      <x:c r="O386" s="108" t="str">
        <x:v>V2.1 proposed structure</x:v>
      </x:c>
      <x:c r="P386" s="108" t="str"/>
      <x:c r="Q386" s="108" t="str"/>
      <x:c r="R386" s="108" t="str">
        <x:v>22 — Technical Specifications</x:v>
      </x:c>
      <x:c r="S386" s="110" t="str">
        <x:v>ChatGPT prefill · 06 Oct 2026</x:v>
      </x:c>
    </x:row>
    <x:row r="387" ht="36" customHeight="1">
      <x:c r="A387" s="107" t="str">
        <x:v>Z11</x:v>
      </x:c>
      <x:c r="B387" s="107" t="str">
        <x:v>Final V3.0 guideline structure</x:v>
      </x:c>
      <x:c r="C387" s="107" t="str">
        <x:v>Scope / deliverable</x:v>
      </x:c>
      <x:c r="D387" s="108" t="str">
        <x:v>Include 11 — Iconography chapter?</x:v>
      </x:c>
      <x:c r="E387" s="108" t="str">
        <x:v>Yes</x:v>
      </x:c>
      <x:c r="F387" s="109" t="str">
        <x:v>Modify / custom answer</x:v>
      </x:c>
      <x:c r="G387" s="110" t="str">
        <x:v>Yes — title the chapter 'Functional Glyph System' or 'Iconography &amp; Functional Glyphs'. Do not create a decorative icon library.</x:v>
      </x:c>
      <x:c r="H387" s="108" t="str">
        <x:f>IF(F387="Approve recommendation",E387,IF(F387="Modify / custom answer",G387,IF(F387="Reject","Rejected",IF(F387="Defer","Deferred",IF(F387="Needs evidence","Pending evidence","")))))</x:f>
        <x:v>Yes — title the chapter 'Functional Glyph System' or 'Iconography &amp; Functional Glyphs'. Do not create a decorative icon library.</x:v>
      </x:c>
      <x:c r="I387" s="107" t="str">
        <x:f>IF(F387="","Pending",IF(F387="Approve recommendation","Approved",IF(F387="Modify / custom answer",IF(G387="","Action Required","Approved with modification"),IF(F387="Reject","Rejected",IF(F387="Defer","Deferred",IF(F387="Needs evidence","Evidence Required","Pending"))))))</x:f>
        <x:v>Approved with modification</x:v>
      </x:c>
      <x:c r="J387" s="107" t="str">
        <x:v>High</x:v>
      </x:c>
      <x:c r="K387" s="110" t="str">
        <x:v>Brand Owner + Design Custodian</x:v>
      </x:c>
      <x:c r="L387" s="110" t="str">
        <x:v>Approved as the V3.0 consultant recommendation, grounded in the current GEM source system and best-practice review.</x:v>
      </x:c>
      <x:c r="M387" s="108" t="str">
        <x:v>No</x:v>
      </x:c>
      <x:c r="N387" s="108" t="str"/>
      <x:c r="O387" s="108" t="str">
        <x:v>V2.1 proposed structure</x:v>
      </x:c>
      <x:c r="P387" s="108" t="str"/>
      <x:c r="Q387" s="108" t="str"/>
      <x:c r="R387" s="108" t="str">
        <x:v>22 — Technical Specifications</x:v>
      </x:c>
      <x:c r="S387" s="110" t="str">
        <x:v>ChatGPT prefill · 06 Oct 2026</x:v>
      </x:c>
    </x:row>
    <x:row r="388" ht="36" customHeight="1">
      <x:c r="A388" s="107" t="str">
        <x:v>Z12</x:v>
      </x:c>
      <x:c r="B388" s="107" t="str">
        <x:v>Final V3.0 guideline structure</x:v>
      </x:c>
      <x:c r="C388" s="107" t="str">
        <x:v>Scope / deliverable</x:v>
      </x:c>
      <x:c r="D388" s="108" t="str">
        <x:v>Include 12 — Photography &amp; Art Direction chapter?</x:v>
      </x:c>
      <x:c r="E388" s="108" t="str">
        <x:v>Yes</x:v>
      </x:c>
      <x:c r="F388" s="109" t="str">
        <x:v>Approve recommendation</x:v>
      </x:c>
      <x:c r="G388" s="110"/>
      <x:c r="H388" s="108" t="str">
        <x:f>IF(F388="Approve recommendation",E388,IF(F388="Modify / custom answer",G388,IF(F388="Reject","Rejected",IF(F388="Defer","Deferred",IF(F388="Needs evidence","Pending evidence","")))))</x:f>
        <x:v>Yes</x:v>
      </x:c>
      <x:c r="I388" s="107" t="str">
        <x:f>IF(F388="","Pending",IF(F388="Approve recommendation","Approved",IF(F388="Modify / custom answer",IF(G388="","Action Required","Approved with modification"),IF(F388="Reject","Rejected",IF(F388="Defer","Deferred",IF(F388="Needs evidence","Evidence Required","Pending"))))))</x:f>
        <x:v>Approved</x:v>
      </x:c>
      <x:c r="J388" s="107" t="str">
        <x:v>High</x:v>
      </x:c>
      <x:c r="K388" s="110" t="str">
        <x:v>Brand Owner + Design Custodian</x:v>
      </x:c>
      <x:c r="L388" s="110"/>
      <x:c r="M388" s="108" t="str">
        <x:v>No</x:v>
      </x:c>
      <x:c r="N388" s="108" t="str"/>
      <x:c r="O388" s="108" t="str">
        <x:v>V2.1 proposed structure</x:v>
      </x:c>
      <x:c r="P388" s="108" t="str"/>
      <x:c r="Q388" s="108" t="str"/>
      <x:c r="R388" s="108" t="str">
        <x:v>22 — Technical Specifications</x:v>
      </x:c>
      <x:c r="S388" s="110" t="str">
        <x:v>ChatGPT prefill · 06 Oct 2026</x:v>
      </x:c>
    </x:row>
    <x:row r="389" ht="36" customHeight="1">
      <x:c r="A389" s="107" t="str">
        <x:v>Z13</x:v>
      </x:c>
      <x:c r="B389" s="107" t="str">
        <x:v>Final V3.0 guideline structure</x:v>
      </x:c>
      <x:c r="C389" s="107" t="str">
        <x:v>Scope / deliverable</x:v>
      </x:c>
      <x:c r="D389" s="108" t="str">
        <x:v>Include 13 — Motion chapter?</x:v>
      </x:c>
      <x:c r="E389" s="108" t="str">
        <x:v>Yes</x:v>
      </x:c>
      <x:c r="F389" s="109" t="str">
        <x:v>Approve recommendation</x:v>
      </x:c>
      <x:c r="G389" s="110"/>
      <x:c r="H389" s="108" t="str">
        <x:f>IF(F389="Approve recommendation",E389,IF(F389="Modify / custom answer",G389,IF(F389="Reject","Rejected",IF(F389="Defer","Deferred",IF(F389="Needs evidence","Pending evidence","")))))</x:f>
        <x:v>Yes</x:v>
      </x:c>
      <x:c r="I389" s="107" t="str">
        <x:f>IF(F389="","Pending",IF(F389="Approve recommendation","Approved",IF(F389="Modify / custom answer",IF(G389="","Action Required","Approved with modification"),IF(F389="Reject","Rejected",IF(F389="Defer","Deferred",IF(F389="Needs evidence","Evidence Required","Pending"))))))</x:f>
        <x:v>Approved</x:v>
      </x:c>
      <x:c r="J389" s="107" t="str">
        <x:v>High</x:v>
      </x:c>
      <x:c r="K389" s="110" t="str">
        <x:v>Brand Owner + Design Custodian</x:v>
      </x:c>
      <x:c r="L389" s="110"/>
      <x:c r="M389" s="108" t="str">
        <x:v>No</x:v>
      </x:c>
      <x:c r="N389" s="108" t="str"/>
      <x:c r="O389" s="108" t="str">
        <x:v>V2.1 proposed structure</x:v>
      </x:c>
      <x:c r="P389" s="108" t="str"/>
      <x:c r="Q389" s="108" t="str"/>
      <x:c r="R389" s="108" t="str">
        <x:v>22 — Technical Specifications</x:v>
      </x:c>
      <x:c r="S389" s="110" t="str">
        <x:v>ChatGPT prefill · 06 Oct 2026</x:v>
      </x:c>
    </x:row>
    <x:row r="390" ht="36" customHeight="1">
      <x:c r="A390" s="107" t="str">
        <x:v>Z14</x:v>
      </x:c>
      <x:c r="B390" s="107" t="str">
        <x:v>Final V3.0 guideline structure</x:v>
      </x:c>
      <x:c r="C390" s="107" t="str">
        <x:v>Scope / deliverable</x:v>
      </x:c>
      <x:c r="D390" s="108" t="str">
        <x:v>Include 14 — Digital Product/UI chapter?</x:v>
      </x:c>
      <x:c r="E390" s="108" t="str">
        <x:v>Yes</x:v>
      </x:c>
      <x:c r="F390" s="109" t="str">
        <x:v>Approve recommendation</x:v>
      </x:c>
      <x:c r="G390" s="110"/>
      <x:c r="H390" s="108" t="str">
        <x:f>IF(F390="Approve recommendation",E390,IF(F390="Modify / custom answer",G390,IF(F390="Reject","Rejected",IF(F390="Defer","Deferred",IF(F390="Needs evidence","Pending evidence","")))))</x:f>
        <x:v>Yes</x:v>
      </x:c>
      <x:c r="I390" s="107" t="str">
        <x:f>IF(F390="","Pending",IF(F390="Approve recommendation","Approved",IF(F390="Modify / custom answer",IF(G390="","Action Required","Approved with modification"),IF(F390="Reject","Rejected",IF(F390="Defer","Deferred",IF(F390="Needs evidence","Evidence Required","Pending"))))))</x:f>
        <x:v>Approved</x:v>
      </x:c>
      <x:c r="J390" s="107" t="str">
        <x:v>High</x:v>
      </x:c>
      <x:c r="K390" s="110" t="str">
        <x:v>Brand Owner + Design Custodian</x:v>
      </x:c>
      <x:c r="L390" s="110"/>
      <x:c r="M390" s="108" t="str">
        <x:v>No</x:v>
      </x:c>
      <x:c r="N390" s="108" t="str"/>
      <x:c r="O390" s="108" t="str">
        <x:v>V2.1 proposed structure</x:v>
      </x:c>
      <x:c r="P390" s="108" t="str"/>
      <x:c r="Q390" s="108" t="str"/>
      <x:c r="R390" s="108" t="str">
        <x:v>22 — Technical Specifications</x:v>
      </x:c>
      <x:c r="S390" s="110" t="str">
        <x:v>ChatGPT prefill · 06 Oct 2026</x:v>
      </x:c>
    </x:row>
    <x:row r="391" ht="36" customHeight="1">
      <x:c r="A391" s="107" t="str">
        <x:v>Z15</x:v>
      </x:c>
      <x:c r="B391" s="107" t="str">
        <x:v>Final V3.0 guideline structure</x:v>
      </x:c>
      <x:c r="C391" s="107" t="str">
        <x:v>Scope / deliverable</x:v>
      </x:c>
      <x:c r="D391" s="108" t="str">
        <x:v>Include 15 — Guest Experience Applications chapter?</x:v>
      </x:c>
      <x:c r="E391" s="108" t="str">
        <x:v>Yes</x:v>
      </x:c>
      <x:c r="F391" s="109" t="str">
        <x:v>Approve recommendation</x:v>
      </x:c>
      <x:c r="G391" s="110"/>
      <x:c r="H391" s="108" t="str">
        <x:f>IF(F391="Approve recommendation",E391,IF(F391="Modify / custom answer",G391,IF(F391="Reject","Rejected",IF(F391="Defer","Deferred",IF(F391="Needs evidence","Pending evidence","")))))</x:f>
        <x:v>Yes</x:v>
      </x:c>
      <x:c r="I391" s="107" t="str">
        <x:f>IF(F391="","Pending",IF(F391="Approve recommendation","Approved",IF(F391="Modify / custom answer",IF(G391="","Action Required","Approved with modification"),IF(F391="Reject","Rejected",IF(F391="Defer","Deferred",IF(F391="Needs evidence","Evidence Required","Pending"))))))</x:f>
        <x:v>Approved</x:v>
      </x:c>
      <x:c r="J391" s="107" t="str">
        <x:v>High</x:v>
      </x:c>
      <x:c r="K391" s="110" t="str">
        <x:v>Brand Owner + Design Custodian</x:v>
      </x:c>
      <x:c r="L391" s="110"/>
      <x:c r="M391" s="108" t="str">
        <x:v>No</x:v>
      </x:c>
      <x:c r="N391" s="108" t="str"/>
      <x:c r="O391" s="108" t="str">
        <x:v>V2.1 proposed structure</x:v>
      </x:c>
      <x:c r="P391" s="108" t="str"/>
      <x:c r="Q391" s="108" t="str"/>
      <x:c r="R391" s="108" t="str">
        <x:v>22 — Technical Specifications</x:v>
      </x:c>
      <x:c r="S391" s="110" t="str">
        <x:v>ChatGPT prefill · 06 Oct 2026</x:v>
      </x:c>
    </x:row>
    <x:row r="392" ht="36" customHeight="1">
      <x:c r="A392" s="107" t="str">
        <x:v>Z16</x:v>
      </x:c>
      <x:c r="B392" s="107" t="str">
        <x:v>Final V3.0 guideline structure</x:v>
      </x:c>
      <x:c r="C392" s="107" t="str">
        <x:v>Scope / deliverable</x:v>
      </x:c>
      <x:c r="D392" s="108" t="str">
        <x:v>Include 16 — Wayfinding &amp; Environmental Identity chapter?</x:v>
      </x:c>
      <x:c r="E392" s="108" t="str">
        <x:v>Yes</x:v>
      </x:c>
      <x:c r="F392" s="109" t="str">
        <x:v>Approve recommendation</x:v>
      </x:c>
      <x:c r="G392" s="110"/>
      <x:c r="H392" s="108" t="str">
        <x:f>IF(F392="Approve recommendation",E392,IF(F392="Modify / custom answer",G392,IF(F392="Reject","Rejected",IF(F392="Defer","Deferred",IF(F392="Needs evidence","Pending evidence","")))))</x:f>
        <x:v>Yes</x:v>
      </x:c>
      <x:c r="I392" s="107" t="str">
        <x:f>IF(F392="","Pending",IF(F392="Approve recommendation","Approved",IF(F392="Modify / custom answer",IF(G392="","Action Required","Approved with modification"),IF(F392="Reject","Rejected",IF(F392="Defer","Deferred",IF(F392="Needs evidence","Evidence Required","Pending"))))))</x:f>
        <x:v>Approved</x:v>
      </x:c>
      <x:c r="J392" s="107" t="str">
        <x:v>High</x:v>
      </x:c>
      <x:c r="K392" s="110" t="str">
        <x:v>Brand Owner + Design Custodian</x:v>
      </x:c>
      <x:c r="L392" s="110"/>
      <x:c r="M392" s="108" t="str">
        <x:v>No</x:v>
      </x:c>
      <x:c r="N392" s="108" t="str"/>
      <x:c r="O392" s="108" t="str">
        <x:v>V2.1 proposed structure</x:v>
      </x:c>
      <x:c r="P392" s="108" t="str"/>
      <x:c r="Q392" s="108" t="str"/>
      <x:c r="R392" s="108" t="str">
        <x:v>22 — Technical Specifications</x:v>
      </x:c>
      <x:c r="S392" s="110" t="str">
        <x:v>ChatGPT prefill · 06 Oct 2026</x:v>
      </x:c>
    </x:row>
    <x:row r="393" ht="36" customHeight="1">
      <x:c r="A393" s="107" t="str">
        <x:v>Z17</x:v>
      </x:c>
      <x:c r="B393" s="107" t="str">
        <x:v>Final V3.0 guideline structure</x:v>
      </x:c>
      <x:c r="C393" s="107" t="str">
        <x:v>Scope / deliverable</x:v>
      </x:c>
      <x:c r="D393" s="108" t="str">
        <x:v>Include 17 — Amenities &amp; Packaging chapter?</x:v>
      </x:c>
      <x:c r="E393" s="108" t="str">
        <x:v>Yes</x:v>
      </x:c>
      <x:c r="F393" s="109" t="str">
        <x:v>Approve recommendation</x:v>
      </x:c>
      <x:c r="G393" s="110"/>
      <x:c r="H393" s="108" t="str">
        <x:f>IF(F393="Approve recommendation",E393,IF(F393="Modify / custom answer",G393,IF(F393="Reject","Rejected",IF(F393="Defer","Deferred",IF(F393="Needs evidence","Pending evidence","")))))</x:f>
        <x:v>Yes</x:v>
      </x:c>
      <x:c r="I393" s="107" t="str">
        <x:f>IF(F393="","Pending",IF(F393="Approve recommendation","Approved",IF(F393="Modify / custom answer",IF(G393="","Action Required","Approved with modification"),IF(F393="Reject","Rejected",IF(F393="Defer","Deferred",IF(F393="Needs evidence","Evidence Required","Pending"))))))</x:f>
        <x:v>Approved</x:v>
      </x:c>
      <x:c r="J393" s="107" t="str">
        <x:v>High</x:v>
      </x:c>
      <x:c r="K393" s="110" t="str">
        <x:v>Brand Owner + Design Custodian</x:v>
      </x:c>
      <x:c r="L393" s="110"/>
      <x:c r="M393" s="108" t="str">
        <x:v>No</x:v>
      </x:c>
      <x:c r="N393" s="108" t="str"/>
      <x:c r="O393" s="108" t="str">
        <x:v>V2.1 proposed structure</x:v>
      </x:c>
      <x:c r="P393" s="108" t="str"/>
      <x:c r="Q393" s="108" t="str"/>
      <x:c r="R393" s="108" t="str">
        <x:v>22 — Technical Specifications</x:v>
      </x:c>
      <x:c r="S393" s="110" t="str">
        <x:v>ChatGPT prefill · 06 Oct 2026</x:v>
      </x:c>
    </x:row>
    <x:row r="394" ht="36" customHeight="1">
      <x:c r="A394" s="107" t="str">
        <x:v>Z18</x:v>
      </x:c>
      <x:c r="B394" s="107" t="str">
        <x:v>Final V3.0 guideline structure</x:v>
      </x:c>
      <x:c r="C394" s="107" t="str">
        <x:v>Scope / deliverable</x:v>
      </x:c>
      <x:c r="D394" s="108" t="str">
        <x:v>Include 18 — Print &amp; Production chapter?</x:v>
      </x:c>
      <x:c r="E394" s="108" t="str">
        <x:v>Yes</x:v>
      </x:c>
      <x:c r="F394" s="109" t="str">
        <x:v>Approve recommendation</x:v>
      </x:c>
      <x:c r="G394" s="110"/>
      <x:c r="H394" s="108" t="str">
        <x:f>IF(F394="Approve recommendation",E394,IF(F394="Modify / custom answer",G394,IF(F394="Reject","Rejected",IF(F394="Defer","Deferred",IF(F394="Needs evidence","Pending evidence","")))))</x:f>
        <x:v>Yes</x:v>
      </x:c>
      <x:c r="I394" s="107" t="str">
        <x:f>IF(F394="","Pending",IF(F394="Approve recommendation","Approved",IF(F394="Modify / custom answer",IF(G394="","Action Required","Approved with modification"),IF(F394="Reject","Rejected",IF(F394="Defer","Deferred",IF(F394="Needs evidence","Evidence Required","Pending"))))))</x:f>
        <x:v>Approved</x:v>
      </x:c>
      <x:c r="J394" s="107" t="str">
        <x:v>High</x:v>
      </x:c>
      <x:c r="K394" s="110" t="str">
        <x:v>Brand Owner + Design Custodian</x:v>
      </x:c>
      <x:c r="L394" s="110"/>
      <x:c r="M394" s="108" t="str">
        <x:v>No</x:v>
      </x:c>
      <x:c r="N394" s="108" t="str"/>
      <x:c r="O394" s="108" t="str">
        <x:v>V2.1 proposed structure</x:v>
      </x:c>
      <x:c r="P394" s="108" t="str"/>
      <x:c r="Q394" s="108" t="str"/>
      <x:c r="R394" s="108" t="str">
        <x:v>22 — Technical Specifications</x:v>
      </x:c>
      <x:c r="S394" s="110" t="str">
        <x:v>ChatGPT prefill · 06 Oct 2026</x:v>
      </x:c>
    </x:row>
    <x:row r="395" ht="36" customHeight="1">
      <x:c r="A395" s="107" t="str">
        <x:v>Z19</x:v>
      </x:c>
      <x:c r="B395" s="107" t="str">
        <x:v>Final V3.0 guideline structure</x:v>
      </x:c>
      <x:c r="C395" s="107" t="str">
        <x:v>Scope / deliverable</x:v>
      </x:c>
      <x:c r="D395" s="108" t="str">
        <x:v>Include 19 — Accessibility chapter?</x:v>
      </x:c>
      <x:c r="E395" s="108" t="str">
        <x:v>Yes</x:v>
      </x:c>
      <x:c r="F395" s="109" t="str">
        <x:v>Approve recommendation</x:v>
      </x:c>
      <x:c r="G395" s="110"/>
      <x:c r="H395" s="108" t="str">
        <x:f>IF(F395="Approve recommendation",E395,IF(F395="Modify / custom answer",G395,IF(F395="Reject","Rejected",IF(F395="Defer","Deferred",IF(F395="Needs evidence","Pending evidence","")))))</x:f>
        <x:v>Yes</x:v>
      </x:c>
      <x:c r="I395" s="107" t="str">
        <x:f>IF(F395="","Pending",IF(F395="Approve recommendation","Approved",IF(F395="Modify / custom answer",IF(G395="","Action Required","Approved with modification"),IF(F395="Reject","Rejected",IF(F395="Defer","Deferred",IF(F395="Needs evidence","Evidence Required","Pending"))))))</x:f>
        <x:v>Approved</x:v>
      </x:c>
      <x:c r="J395" s="107" t="str">
        <x:v>High</x:v>
      </x:c>
      <x:c r="K395" s="110" t="str">
        <x:v>Brand Owner + Design Custodian</x:v>
      </x:c>
      <x:c r="L395" s="110"/>
      <x:c r="M395" s="108" t="str">
        <x:v>Yes</x:v>
      </x:c>
      <x:c r="N395" s="108" t="str"/>
      <x:c r="O395" s="108" t="str">
        <x:v>V2.1 proposed structure</x:v>
      </x:c>
      <x:c r="P395" s="108" t="str"/>
      <x:c r="Q395" s="108" t="str"/>
      <x:c r="R395" s="108" t="str">
        <x:v>22 — Technical Specifications</x:v>
      </x:c>
      <x:c r="S395" s="110" t="str">
        <x:v>ChatGPT prefill · 06 Oct 2026</x:v>
      </x:c>
    </x:row>
    <x:row r="396" ht="36" customHeight="1">
      <x:c r="A396" s="107" t="str">
        <x:v>Z20</x:v>
      </x:c>
      <x:c r="B396" s="107" t="str">
        <x:v>Final V3.0 guideline structure</x:v>
      </x:c>
      <x:c r="C396" s="107" t="str">
        <x:v>Scope / deliverable</x:v>
      </x:c>
      <x:c r="D396" s="108" t="str">
        <x:v>Include 20 — Templates &amp; Asset Library chapter?</x:v>
      </x:c>
      <x:c r="E396" s="108" t="str">
        <x:v>Yes</x:v>
      </x:c>
      <x:c r="F396" s="109" t="str">
        <x:v>Approve recommendation</x:v>
      </x:c>
      <x:c r="G396" s="110"/>
      <x:c r="H396" s="108" t="str">
        <x:f>IF(F396="Approve recommendation",E396,IF(F396="Modify / custom answer",G396,IF(F396="Reject","Rejected",IF(F396="Defer","Deferred",IF(F396="Needs evidence","Pending evidence","")))))</x:f>
        <x:v>Yes</x:v>
      </x:c>
      <x:c r="I396" s="107" t="str">
        <x:f>IF(F396="","Pending",IF(F396="Approve recommendation","Approved",IF(F396="Modify / custom answer",IF(G396="","Action Required","Approved with modification"),IF(F396="Reject","Rejected",IF(F396="Defer","Deferred",IF(F396="Needs evidence","Evidence Required","Pending"))))))</x:f>
        <x:v>Approved</x:v>
      </x:c>
      <x:c r="J396" s="107" t="str">
        <x:v>High</x:v>
      </x:c>
      <x:c r="K396" s="110" t="str">
        <x:v>Brand Owner + Design Custodian</x:v>
      </x:c>
      <x:c r="L396" s="110"/>
      <x:c r="M396" s="108" t="str">
        <x:v>No</x:v>
      </x:c>
      <x:c r="N396" s="108" t="str"/>
      <x:c r="O396" s="108" t="str">
        <x:v>V2.1 proposed structure</x:v>
      </x:c>
      <x:c r="P396" s="108" t="str"/>
      <x:c r="Q396" s="108" t="str"/>
      <x:c r="R396" s="108" t="str">
        <x:v>22 — Technical Specifications</x:v>
      </x:c>
      <x:c r="S396" s="110" t="str">
        <x:v>ChatGPT prefill · 06 Oct 2026</x:v>
      </x:c>
    </x:row>
    <x:row r="397" ht="36" customHeight="1">
      <x:c r="A397" s="107" t="str">
        <x:v>Z21</x:v>
      </x:c>
      <x:c r="B397" s="107" t="str">
        <x:v>Final V3.0 guideline structure</x:v>
      </x:c>
      <x:c r="C397" s="107" t="str">
        <x:v>Scope / deliverable</x:v>
      </x:c>
      <x:c r="D397" s="108" t="str">
        <x:v>Include 21 — Governance &amp; Approval Workflow chapter?</x:v>
      </x:c>
      <x:c r="E397" s="108" t="str">
        <x:v>Yes</x:v>
      </x:c>
      <x:c r="F397" s="109" t="str">
        <x:v>Approve recommendation</x:v>
      </x:c>
      <x:c r="G397" s="110"/>
      <x:c r="H397" s="108" t="str">
        <x:f>IF(F397="Approve recommendation",E397,IF(F397="Modify / custom answer",G397,IF(F397="Reject","Rejected",IF(F397="Defer","Deferred",IF(F397="Needs evidence","Pending evidence","")))))</x:f>
        <x:v>Yes</x:v>
      </x:c>
      <x:c r="I397" s="107" t="str">
        <x:f>IF(F397="","Pending",IF(F397="Approve recommendation","Approved",IF(F397="Modify / custom answer",IF(G397="","Action Required","Approved with modification"),IF(F397="Reject","Rejected",IF(F397="Defer","Deferred",IF(F397="Needs evidence","Evidence Required","Pending"))))))</x:f>
        <x:v>Approved</x:v>
      </x:c>
      <x:c r="J397" s="107" t="str">
        <x:v>High</x:v>
      </x:c>
      <x:c r="K397" s="110" t="str">
        <x:v>Brand Owner + Design Custodian</x:v>
      </x:c>
      <x:c r="L397" s="110"/>
      <x:c r="M397" s="108" t="str">
        <x:v>No</x:v>
      </x:c>
      <x:c r="N397" s="108" t="str"/>
      <x:c r="O397" s="108" t="str">
        <x:v>V2.1 proposed structure</x:v>
      </x:c>
      <x:c r="P397" s="108" t="str"/>
      <x:c r="Q397" s="108" t="str"/>
      <x:c r="R397" s="108" t="str">
        <x:v>22 — Technical Specifications</x:v>
      </x:c>
      <x:c r="S397" s="110" t="str">
        <x:v>ChatGPT prefill · 06 Oct 2026</x:v>
      </x:c>
    </x:row>
    <x:row r="398" ht="36" customHeight="1">
      <x:c r="A398" s="107" t="str">
        <x:v>Z22</x:v>
      </x:c>
      <x:c r="B398" s="107" t="str">
        <x:v>Final V3.0 guideline structure</x:v>
      </x:c>
      <x:c r="C398" s="107" t="str">
        <x:v>Scope / deliverable</x:v>
      </x:c>
      <x:c r="D398" s="108" t="str">
        <x:v>Include 22 — Technical Specifications chapter?</x:v>
      </x:c>
      <x:c r="E398" s="108" t="str">
        <x:v>Yes — keep high-level specifications and handoff rules here; place deep component/API and supplier-production detail in the separate Digital Design System and Production Standards.</x:v>
      </x:c>
      <x:c r="F398" s="109" t="str">
        <x:v>Approve recommendation</x:v>
      </x:c>
      <x:c r="G398" s="110"/>
      <x:c r="H398" s="108" t="str">
        <x:f>IF(F398="Approve recommendation",E398,IF(F398="Modify / custom answer",G398,IF(F398="Reject","Rejected",IF(F398="Defer","Deferred",IF(F398="Needs evidence","Pending evidence","")))))</x:f>
        <x:v>Yes — keep high-level specifications and handoff rules here; place deep component/API and supplier-production detail in the separate Digital Design System and Production Standards.</x:v>
      </x:c>
      <x:c r="I398" s="107" t="str">
        <x:f>IF(F398="","Pending",IF(F398="Approve recommendation","Approved",IF(F398="Modify / custom answer",IF(G398="","Action Required","Approved with modification"),IF(F398="Reject","Rejected",IF(F398="Defer","Deferred",IF(F398="Needs evidence","Evidence Required","Pending"))))))</x:f>
        <x:v>Approved</x:v>
      </x:c>
      <x:c r="J398" s="107" t="str">
        <x:v>High</x:v>
      </x:c>
      <x:c r="K398" s="110" t="str">
        <x:v>Brand Owner + Design Custodian</x:v>
      </x:c>
      <x:c r="L398" s="110"/>
      <x:c r="M398" s="108" t="str">
        <x:v>No</x:v>
      </x:c>
      <x:c r="N398" s="108" t="str"/>
      <x:c r="O398" s="108" t="str">
        <x:v>GEM Design System v2.1 review</x:v>
      </x:c>
      <x:c r="P398" s="108" t="str">
        <x:v>SRC-04</x:v>
      </x:c>
      <x:c r="Q398" s="108" t="str"/>
      <x:c r="R398" s="108" t="str">
        <x:v>22 — Technical Specifications</x:v>
      </x:c>
      <x:c r="S398" s="110" t="str">
        <x:v>ChatGPT prefill · 06 Oct 2026</x:v>
      </x:c>
    </x:row>
    <x:row r="399" ht="36" customHeight="1">
      <x:c r="A399" s="107" t="str">
        <x:v>Z23</x:v>
      </x:c>
      <x:c r="B399" s="107" t="str">
        <x:v>Final V3.0 guideline structure</x:v>
      </x:c>
      <x:c r="C399" s="107" t="str">
        <x:v>Scope / deliverable</x:v>
      </x:c>
      <x:c r="D399" s="108" t="str">
        <x:v>Include Appendix — Master Asset Index?</x:v>
      </x:c>
      <x:c r="E399" s="108" t="str">
        <x:v>Yes</x:v>
      </x:c>
      <x:c r="F399" s="109" t="str">
        <x:v>Approve recommendation</x:v>
      </x:c>
      <x:c r="G399" s="110"/>
      <x:c r="H399" s="108" t="str">
        <x:f>IF(F399="Approve recommendation",E399,IF(F399="Modify / custom answer",G399,IF(F399="Reject","Rejected",IF(F399="Defer","Deferred",IF(F399="Needs evidence","Pending evidence","")))))</x:f>
        <x:v>Yes</x:v>
      </x:c>
      <x:c r="I399" s="107" t="str">
        <x:f>IF(F399="","Pending",IF(F399="Approve recommendation","Approved",IF(F399="Modify / custom answer",IF(G399="","Action Required","Approved with modification"),IF(F399="Reject","Rejected",IF(F399="Defer","Deferred",IF(F399="Needs evidence","Evidence Required","Pending"))))))</x:f>
        <x:v>Approved</x:v>
      </x:c>
      <x:c r="J399" s="107" t="str">
        <x:v>High</x:v>
      </x:c>
      <x:c r="K399" s="110" t="str">
        <x:v>Brand Owner + Design Custodian</x:v>
      </x:c>
      <x:c r="L399" s="110"/>
      <x:c r="M399" s="108" t="str">
        <x:v>No</x:v>
      </x:c>
      <x:c r="N399" s="108" t="str"/>
      <x:c r="O399" s="108" t="str">
        <x:v>V2.1 proposed structure</x:v>
      </x:c>
      <x:c r="P399" s="108" t="str"/>
      <x:c r="Q399" s="108" t="str"/>
      <x:c r="R399" s="108" t="str">
        <x:v>22 — Technical Specifications</x:v>
      </x:c>
      <x:c r="S399" s="110" t="str">
        <x:v>ChatGPT prefill · 06 Oct 2026</x:v>
      </x:c>
    </x:row>
    <x:row r="400" ht="36" customHeight="1">
      <x:c r="A400" s="107" t="str">
        <x:v>Z24</x:v>
      </x:c>
      <x:c r="B400" s="107" t="str">
        <x:v>Final V3.0 guideline structure</x:v>
      </x:c>
      <x:c r="C400" s="107" t="str">
        <x:v>Scope / deliverable</x:v>
      </x:c>
      <x:c r="D400" s="108" t="str">
        <x:v>Include Appendix — Change Log?</x:v>
      </x:c>
      <x:c r="E400" s="108" t="str">
        <x:v>Yes</x:v>
      </x:c>
      <x:c r="F400" s="109" t="str">
        <x:v>Approve recommendation</x:v>
      </x:c>
      <x:c r="G400" s="110"/>
      <x:c r="H400" s="108" t="str">
        <x:f>IF(F400="Approve recommendation",E400,IF(F400="Modify / custom answer",G400,IF(F400="Reject","Rejected",IF(F400="Defer","Deferred",IF(F400="Needs evidence","Pending evidence","")))))</x:f>
        <x:v>Yes</x:v>
      </x:c>
      <x:c r="I400" s="107" t="str">
        <x:f>IF(F400="","Pending",IF(F400="Approve recommendation","Approved",IF(F400="Modify / custom answer",IF(G400="","Action Required","Approved with modification"),IF(F400="Reject","Rejected",IF(F400="Defer","Deferred",IF(F400="Needs evidence","Evidence Required","Pending"))))))</x:f>
        <x:v>Approved</x:v>
      </x:c>
      <x:c r="J400" s="107" t="str">
        <x:v>High</x:v>
      </x:c>
      <x:c r="K400" s="110" t="str">
        <x:v>Brand Owner + Design Custodian</x:v>
      </x:c>
      <x:c r="L400" s="110"/>
      <x:c r="M400" s="108" t="str">
        <x:v>No</x:v>
      </x:c>
      <x:c r="N400" s="108" t="str"/>
      <x:c r="O400" s="108" t="str">
        <x:v>V2.1 proposed structure</x:v>
      </x:c>
      <x:c r="P400" s="108" t="str"/>
      <x:c r="Q400" s="108" t="str"/>
      <x:c r="R400" s="108" t="str">
        <x:v>22 — Technical Specifications</x:v>
      </x:c>
      <x:c r="S400" s="110" t="str">
        <x:v>ChatGPT prefill · 06 Oct 2026</x:v>
      </x:c>
    </x:row>
    <x:row r="401" ht="36" customHeight="1">
      <x:c r="A401" s="107" t="str">
        <x:v>AA01</x:v>
      </x:c>
      <x:c r="B401" s="107" t="str">
        <x:v>Status language for V3.0</x:v>
      </x:c>
      <x:c r="C401" s="107" t="str">
        <x:v>Brand decision</x:v>
      </x:c>
      <x:c r="D401" s="108" t="str">
        <x:v>Use APPROVED / CONDITIONAL / PENDING VALIDATION / REFERENCE statuses throughout V3.0?</x:v>
      </x:c>
      <x:c r="E401" s="108" t="str">
        <x:v>Yes</x:v>
      </x:c>
      <x:c r="F401" s="109" t="str">
        <x:v>Approve recommendation</x:v>
      </x:c>
      <x:c r="G401" s="110"/>
      <x:c r="H401" s="108" t="str">
        <x:f>IF(F401="Approve recommendation",E401,IF(F401="Modify / custom answer",G401,IF(F401="Reject","Rejected",IF(F401="Defer","Deferred",IF(F401="Needs evidence","Pending evidence","")))))</x:f>
        <x:v>Yes</x:v>
      </x:c>
      <x:c r="I401" s="107" t="str">
        <x:f>IF(F401="","Pending",IF(F401="Approve recommendation","Approved",IF(F401="Modify / custom answer",IF(G401="","Action Required","Approved with modification"),IF(F401="Reject","Rejected",IF(F401="Defer","Deferred",IF(F401="Needs evidence","Evidence Required","Pending"))))))</x:f>
        <x:v>Approved</x:v>
      </x:c>
      <x:c r="J401" s="107" t="str">
        <x:v>High</x:v>
      </x:c>
      <x:c r="K401" s="110" t="str">
        <x:v>Asset Librarian / Governance PM + Brand Owner</x:v>
      </x:c>
      <x:c r="L401" s="110"/>
      <x:c r="M401" s="108" t="str">
        <x:v>No</x:v>
      </x:c>
      <x:c r="N401" s="108" t="str"/>
      <x:c r="O401" s="108" t="str">
        <x:v>V2.1 governance recommendation</x:v>
      </x:c>
      <x:c r="P401" s="108" t="str">
        <x:v>BEN-ALL</x:v>
      </x:c>
      <x:c r="Q401" s="108" t="str"/>
      <x:c r="R401" s="108" t="str">
        <x:v>21 — Governance &amp; Approval Workflow</x:v>
      </x:c>
      <x:c r="S401" s="110" t="str">
        <x:v>ChatGPT prefill · 06 Oct 2026</x:v>
      </x:c>
    </x:row>
    <x:row r="402" ht="36" customHeight="1">
      <x:c r="A402" s="107" t="str">
        <x:v>AA02</x:v>
      </x:c>
      <x:c r="B402" s="107" t="str">
        <x:v>Status language for V3.0</x:v>
      </x:c>
      <x:c r="C402" s="107" t="str">
        <x:v>Brand decision</x:v>
      </x:c>
      <x:c r="D402" s="108" t="str">
        <x:v>Remove unresolved “proposed” content from the main approved standard?</x:v>
      </x:c>
      <x:c r="E402" s="108" t="str">
        <x:v>Yes</x:v>
      </x:c>
      <x:c r="F402" s="109" t="str">
        <x:v>Approve recommendation</x:v>
      </x:c>
      <x:c r="G402" s="110"/>
      <x:c r="H402" s="108" t="str">
        <x:f>IF(F402="Approve recommendation",E402,IF(F402="Modify / custom answer",G402,IF(F402="Reject","Rejected",IF(F402="Defer","Deferred",IF(F402="Needs evidence","Pending evidence","")))))</x:f>
        <x:v>Yes</x:v>
      </x:c>
      <x:c r="I402" s="107" t="str">
        <x:f>IF(F402="","Pending",IF(F402="Approve recommendation","Approved",IF(F402="Modify / custom answer",IF(G402="","Action Required","Approved with modification"),IF(F402="Reject","Rejected",IF(F402="Defer","Deferred",IF(F402="Needs evidence","Evidence Required","Pending"))))))</x:f>
        <x:v>Approved</x:v>
      </x:c>
      <x:c r="J402" s="107" t="str">
        <x:v>High</x:v>
      </x:c>
      <x:c r="K402" s="110" t="str">
        <x:v>Asset Librarian / Governance PM + Brand Owner</x:v>
      </x:c>
      <x:c r="L402" s="110"/>
      <x:c r="M402" s="108" t="str">
        <x:v>No</x:v>
      </x:c>
      <x:c r="N402" s="108" t="str"/>
      <x:c r="O402" s="108" t="str">
        <x:v>V2.1 governance recommendation</x:v>
      </x:c>
      <x:c r="P402" s="108" t="str">
        <x:v>BEN-ALL</x:v>
      </x:c>
      <x:c r="Q402" s="108" t="str"/>
      <x:c r="R402" s="108" t="str">
        <x:v>21 — Governance &amp; Approval Workflow</x:v>
      </x:c>
      <x:c r="S402" s="110" t="str">
        <x:v>ChatGPT prefill · 06 Oct 2026</x:v>
      </x:c>
    </x:row>
    <x:row r="403" ht="36" customHeight="1">
      <x:c r="A403" s="107" t="str">
        <x:v>AA03</x:v>
      </x:c>
      <x:c r="B403" s="107" t="str">
        <x:v>Status language for V3.0</x:v>
      </x:c>
      <x:c r="C403" s="107" t="str">
        <x:v>Brand decision</x:v>
      </x:c>
      <x:c r="D403" s="108" t="str">
        <x:v>Move unresolved items to a clearly marked appendix/register?</x:v>
      </x:c>
      <x:c r="E403" s="108" t="str">
        <x:v>Yes</x:v>
      </x:c>
      <x:c r="F403" s="109" t="str">
        <x:v>Approve recommendation</x:v>
      </x:c>
      <x:c r="G403" s="110"/>
      <x:c r="H403" s="108" t="str">
        <x:f>IF(F403="Approve recommendation",E403,IF(F403="Modify / custom answer",G403,IF(F403="Reject","Rejected",IF(F403="Defer","Deferred",IF(F403="Needs evidence","Pending evidence","")))))</x:f>
        <x:v>Yes</x:v>
      </x:c>
      <x:c r="I403" s="107" t="str">
        <x:f>IF(F403="","Pending",IF(F403="Approve recommendation","Approved",IF(F403="Modify / custom answer",IF(G403="","Action Required","Approved with modification"),IF(F403="Reject","Rejected",IF(F403="Defer","Deferred",IF(F403="Needs evidence","Evidence Required","Pending"))))))</x:f>
        <x:v>Approved</x:v>
      </x:c>
      <x:c r="J403" s="107" t="str">
        <x:v>High</x:v>
      </x:c>
      <x:c r="K403" s="110" t="str">
        <x:v>Asset Librarian / Governance PM + Brand Owner</x:v>
      </x:c>
      <x:c r="L403" s="110"/>
      <x:c r="M403" s="108" t="str">
        <x:v>No</x:v>
      </x:c>
      <x:c r="N403" s="108" t="str"/>
      <x:c r="O403" s="108" t="str">
        <x:v>V2.1 governance recommendation</x:v>
      </x:c>
      <x:c r="P403" s="108" t="str">
        <x:v>BEN-ALL</x:v>
      </x:c>
      <x:c r="Q403" s="108" t="str"/>
      <x:c r="R403" s="108" t="str">
        <x:v>21 — Governance &amp; Approval Workflow</x:v>
      </x:c>
      <x:c r="S403" s="110" t="str">
        <x:v>ChatGPT prefill · 06 Oct 2026</x:v>
      </x:c>
    </x:row>
    <x:row r="404" ht="36" customHeight="1">
      <x:c r="A404" s="107" t="str">
        <x:v>AA04</x:v>
      </x:c>
      <x:c r="B404" s="107" t="str">
        <x:v>Status language for V3.0</x:v>
      </x:c>
      <x:c r="C404" s="107" t="str">
        <x:v>Brand decision</x:v>
      </x:c>
      <x:c r="D404" s="108" t="str">
        <x:v>Prohibit “approved-looking” mockups for anything still awaiting validation?</x:v>
      </x:c>
      <x:c r="E404" s="108" t="str">
        <x:v>Yes</x:v>
      </x:c>
      <x:c r="F404" s="109" t="str">
        <x:v>Approve recommendation</x:v>
      </x:c>
      <x:c r="G404" s="110"/>
      <x:c r="H404" s="108" t="str">
        <x:f>IF(F404="Approve recommendation",E404,IF(F404="Modify / custom answer",G404,IF(F404="Reject","Rejected",IF(F404="Defer","Deferred",IF(F404="Needs evidence","Pending evidence","")))))</x:f>
        <x:v>Yes</x:v>
      </x:c>
      <x:c r="I404" s="107" t="str">
        <x:f>IF(F404="","Pending",IF(F404="Approve recommendation","Approved",IF(F404="Modify / custom answer",IF(G404="","Action Required","Approved with modification"),IF(F404="Reject","Rejected",IF(F404="Defer","Deferred",IF(F404="Needs evidence","Evidence Required","Pending"))))))</x:f>
        <x:v>Approved</x:v>
      </x:c>
      <x:c r="J404" s="107" t="str">
        <x:v>High</x:v>
      </x:c>
      <x:c r="K404" s="110" t="str">
        <x:v>Asset Librarian / Governance PM + Brand Owner</x:v>
      </x:c>
      <x:c r="L404" s="110"/>
      <x:c r="M404" s="108" t="str">
        <x:v>No</x:v>
      </x:c>
      <x:c r="N404" s="108" t="str"/>
      <x:c r="O404" s="108" t="str">
        <x:v>V2.1 governance recommendation</x:v>
      </x:c>
      <x:c r="P404" s="108" t="str">
        <x:v>BEN-ALL</x:v>
      </x:c>
      <x:c r="Q404" s="108" t="str"/>
      <x:c r="R404" s="108" t="str">
        <x:v>21 — Governance &amp; Approval Workflow</x:v>
      </x:c>
      <x:c r="S404" s="110" t="str">
        <x:v>ChatGPT prefill · 06 Oct 2026</x:v>
      </x:c>
    </x:row>
    <x:row r="405" ht="36" customHeight="1">
      <x:c r="A405" s="107" t="str">
        <x:v>AB01</x:v>
      </x:c>
      <x:c r="B405" s="107" t="str">
        <x:v>Final release package</x:v>
      </x:c>
      <x:c r="C405" s="107" t="str">
        <x:v>Scope / deliverable</x:v>
      </x:c>
      <x:c r="D405" s="108" t="str">
        <x:v>Final deliverable: GEM™ Brand Guidelines V3.0 — editable PPTX</x:v>
      </x:c>
      <x:c r="E405" s="108" t="str">
        <x:v>Yes</x:v>
      </x:c>
      <x:c r="F405" s="109" t="str">
        <x:v>Approve recommendation</x:v>
      </x:c>
      <x:c r="G405" s="110"/>
      <x:c r="H405" s="108" t="str">
        <x:f>IF(F405="Approve recommendation",E405,IF(F405="Modify / custom answer",G405,IF(F405="Reject","Rejected",IF(F405="Defer","Deferred",IF(F405="Needs evidence","Pending evidence","")))))</x:f>
        <x:v>Yes</x:v>
      </x:c>
      <x:c r="I405" s="107" t="str">
        <x:f>IF(F405="","Pending",IF(F405="Approve recommendation","Approved",IF(F405="Modify / custom answer",IF(G405="","Action Required","Approved with modification"),IF(F405="Reject","Rejected",IF(F405="Defer","Deferred",IF(F405="Needs evidence","Evidence Required","Pending"))))))</x:f>
        <x:v>Approved</x:v>
      </x:c>
      <x:c r="J405" s="107" t="str">
        <x:v>High</x:v>
      </x:c>
      <x:c r="K405" s="110" t="str">
        <x:v>Brand Owner + Design Custodian + Asset Librarian / Governance PM</x:v>
      </x:c>
      <x:c r="L405" s="110"/>
      <x:c r="M405" s="108" t="str">
        <x:v>No</x:v>
      </x:c>
      <x:c r="N405" s="108" t="str"/>
      <x:c r="O405" s="108" t="str">
        <x:v>V2.1 release package recommendation</x:v>
      </x:c>
      <x:c r="P405" s="108" t="str"/>
      <x:c r="Q405" s="108" t="str"/>
      <x:c r="R405" s="108" t="str">
        <x:v>20 — Templates &amp; Asset Library</x:v>
      </x:c>
      <x:c r="S405" s="110" t="str">
        <x:v>ChatGPT prefill · 06 Oct 2026</x:v>
      </x:c>
    </x:row>
    <x:row r="406" ht="36" customHeight="1">
      <x:c r="A406" s="107" t="str">
        <x:v>AB02</x:v>
      </x:c>
      <x:c r="B406" s="107" t="str">
        <x:v>Final release package</x:v>
      </x:c>
      <x:c r="C406" s="107" t="str">
        <x:v>Scope / deliverable</x:v>
      </x:c>
      <x:c r="D406" s="108" t="str">
        <x:v>Final deliverable: GEM™ Brand Guidelines V3.0 — controlled PDF</x:v>
      </x:c>
      <x:c r="E406" s="108" t="str">
        <x:v>Yes</x:v>
      </x:c>
      <x:c r="F406" s="109" t="str">
        <x:v>Approve recommendation</x:v>
      </x:c>
      <x:c r="G406" s="110"/>
      <x:c r="H406" s="108" t="str">
        <x:f>IF(F406="Approve recommendation",E406,IF(F406="Modify / custom answer",G406,IF(F406="Reject","Rejected",IF(F406="Defer","Deferred",IF(F406="Needs evidence","Pending evidence","")))))</x:f>
        <x:v>Yes</x:v>
      </x:c>
      <x:c r="I406" s="107" t="str">
        <x:f>IF(F406="","Pending",IF(F406="Approve recommendation","Approved",IF(F406="Modify / custom answer",IF(G406="","Action Required","Approved with modification"),IF(F406="Reject","Rejected",IF(F406="Defer","Deferred",IF(F406="Needs evidence","Evidence Required","Pending"))))))</x:f>
        <x:v>Approved</x:v>
      </x:c>
      <x:c r="J406" s="107" t="str">
        <x:v>High</x:v>
      </x:c>
      <x:c r="K406" s="110" t="str">
        <x:v>Brand Owner + Design Custodian + Asset Librarian / Governance PM</x:v>
      </x:c>
      <x:c r="L406" s="110"/>
      <x:c r="M406" s="108" t="str">
        <x:v>No</x:v>
      </x:c>
      <x:c r="N406" s="108" t="str"/>
      <x:c r="O406" s="108" t="str">
        <x:v>V2.1 release package recommendation</x:v>
      </x:c>
      <x:c r="P406" s="108" t="str"/>
      <x:c r="Q406" s="108" t="str"/>
      <x:c r="R406" s="108" t="str">
        <x:v>20 — Templates &amp; Asset Library</x:v>
      </x:c>
      <x:c r="S406" s="110" t="str">
        <x:v>ChatGPT prefill · 06 Oct 2026</x:v>
      </x:c>
    </x:row>
    <x:row r="407" ht="36" customHeight="1">
      <x:c r="A407" s="107" t="str">
        <x:v>AB03</x:v>
      </x:c>
      <x:c r="B407" s="107" t="str">
        <x:v>Final release package</x:v>
      </x:c>
      <x:c r="C407" s="107" t="str">
        <x:v>Scope / deliverable</x:v>
      </x:c>
      <x:c r="D407" s="108" t="str">
        <x:v>Final deliverable: Master logo package</x:v>
      </x:c>
      <x:c r="E407" s="108" t="str">
        <x:v>Yes</x:v>
      </x:c>
      <x:c r="F407" s="109" t="str">
        <x:v>Approve recommendation</x:v>
      </x:c>
      <x:c r="G407" s="110"/>
      <x:c r="H407" s="108" t="str">
        <x:f>IF(F407="Approve recommendation",E407,IF(F407="Modify / custom answer",G407,IF(F407="Reject","Rejected",IF(F407="Defer","Deferred",IF(F407="Needs evidence","Pending evidence","")))))</x:f>
        <x:v>Yes</x:v>
      </x:c>
      <x:c r="I407" s="107" t="str">
        <x:f>IF(F407="","Pending",IF(F407="Approve recommendation","Approved",IF(F407="Modify / custom answer",IF(G407="","Action Required","Approved with modification"),IF(F407="Reject","Rejected",IF(F407="Defer","Deferred",IF(F407="Needs evidence","Evidence Required","Pending"))))))</x:f>
        <x:v>Approved</x:v>
      </x:c>
      <x:c r="J407" s="107" t="str">
        <x:v>High</x:v>
      </x:c>
      <x:c r="K407" s="110" t="str">
        <x:v>Brand Owner + Design Custodian + Asset Librarian / Governance PM</x:v>
      </x:c>
      <x:c r="L407" s="110"/>
      <x:c r="M407" s="108" t="str">
        <x:v>No</x:v>
      </x:c>
      <x:c r="N407" s="108" t="str"/>
      <x:c r="O407" s="108" t="str">
        <x:v>V2.1 release package recommendation</x:v>
      </x:c>
      <x:c r="P407" s="108" t="str"/>
      <x:c r="Q407" s="108" t="str"/>
      <x:c r="R407" s="108" t="str">
        <x:v>20 — Templates &amp; Asset Library</x:v>
      </x:c>
      <x:c r="S407" s="110" t="str">
        <x:v>ChatGPT prefill · 06 Oct 2026</x:v>
      </x:c>
    </x:row>
    <x:row r="408" ht="36" customHeight="1">
      <x:c r="A408" s="107" t="str">
        <x:v>AB04</x:v>
      </x:c>
      <x:c r="B408" s="107" t="str">
        <x:v>Final release package</x:v>
      </x:c>
      <x:c r="C408" s="107" t="str">
        <x:v>Scope / deliverable</x:v>
      </x:c>
      <x:c r="D408" s="108" t="str">
        <x:v>Final deliverable: Brand font package / license references</x:v>
      </x:c>
      <x:c r="E408" s="108" t="str">
        <x:v>Yes</x:v>
      </x:c>
      <x:c r="F408" s="109" t="str">
        <x:v>Approve recommendation</x:v>
      </x:c>
      <x:c r="G408" s="110"/>
      <x:c r="H408" s="108" t="str">
        <x:f>IF(F408="Approve recommendation",E408,IF(F408="Modify / custom answer",G408,IF(F408="Reject","Rejected",IF(F408="Defer","Deferred",IF(F408="Needs evidence","Pending evidence","")))))</x:f>
        <x:v>Yes</x:v>
      </x:c>
      <x:c r="I408" s="107" t="str">
        <x:f>IF(F408="","Pending",IF(F408="Approve recommendation","Approved",IF(F408="Modify / custom answer",IF(G408="","Action Required","Approved with modification"),IF(F408="Reject","Rejected",IF(F408="Defer","Deferred",IF(F408="Needs evidence","Evidence Required","Pending"))))))</x:f>
        <x:v>Approved</x:v>
      </x:c>
      <x:c r="J408" s="107" t="str">
        <x:v>High</x:v>
      </x:c>
      <x:c r="K408" s="110" t="str">
        <x:v>Brand Owner + Design Custodian + Asset Librarian / Governance PM</x:v>
      </x:c>
      <x:c r="L408" s="110"/>
      <x:c r="M408" s="108" t="str">
        <x:v>Yes</x:v>
      </x:c>
      <x:c r="N408" s="108" t="str"/>
      <x:c r="O408" s="108" t="str">
        <x:v>V2.1 release package recommendation</x:v>
      </x:c>
      <x:c r="P408" s="108" t="str"/>
      <x:c r="Q408" s="108" t="str"/>
      <x:c r="R408" s="108" t="str">
        <x:v>20 — Templates &amp; Asset Library</x:v>
      </x:c>
      <x:c r="S408" s="110" t="str">
        <x:v>ChatGPT prefill · 06 Oct 2026</x:v>
      </x:c>
    </x:row>
    <x:row r="409" ht="36" customHeight="1">
      <x:c r="A409" s="107" t="str">
        <x:v>AB05</x:v>
      </x:c>
      <x:c r="B409" s="107" t="str">
        <x:v>Final release package</x:v>
      </x:c>
      <x:c r="C409" s="107" t="str">
        <x:v>Scope / deliverable</x:v>
      </x:c>
      <x:c r="D409" s="108" t="str">
        <x:v>Final deliverable: Color specification sheet</x:v>
      </x:c>
      <x:c r="E409" s="108" t="str">
        <x:v>Yes</x:v>
      </x:c>
      <x:c r="F409" s="109" t="str">
        <x:v>Approve recommendation</x:v>
      </x:c>
      <x:c r="G409" s="110"/>
      <x:c r="H409" s="108" t="str">
        <x:f>IF(F409="Approve recommendation",E409,IF(F409="Modify / custom answer",G409,IF(F409="Reject","Rejected",IF(F409="Defer","Deferred",IF(F409="Needs evidence","Pending evidence","")))))</x:f>
        <x:v>Yes</x:v>
      </x:c>
      <x:c r="I409" s="107" t="str">
        <x:f>IF(F409="","Pending",IF(F409="Approve recommendation","Approved",IF(F409="Modify / custom answer",IF(G409="","Action Required","Approved with modification"),IF(F409="Reject","Rejected",IF(F409="Defer","Deferred",IF(F409="Needs evidence","Evidence Required","Pending"))))))</x:f>
        <x:v>Approved</x:v>
      </x:c>
      <x:c r="J409" s="107" t="str">
        <x:v>High</x:v>
      </x:c>
      <x:c r="K409" s="110" t="str">
        <x:v>Brand Owner + Design Custodian + Asset Librarian / Governance PM</x:v>
      </x:c>
      <x:c r="L409" s="110"/>
      <x:c r="M409" s="108" t="str">
        <x:v>No</x:v>
      </x:c>
      <x:c r="N409" s="108" t="str"/>
      <x:c r="O409" s="108" t="str">
        <x:v>V2.1 release package recommendation</x:v>
      </x:c>
      <x:c r="P409" s="108" t="str"/>
      <x:c r="Q409" s="108" t="str"/>
      <x:c r="R409" s="108" t="str">
        <x:v>20 — Templates &amp; Asset Library</x:v>
      </x:c>
      <x:c r="S409" s="110" t="str">
        <x:v>ChatGPT prefill · 06 Oct 2026</x:v>
      </x:c>
    </x:row>
    <x:row r="410" ht="36" customHeight="1">
      <x:c r="A410" s="107" t="str">
        <x:v>AB06</x:v>
      </x:c>
      <x:c r="B410" s="107" t="str">
        <x:v>Final release package</x:v>
      </x:c>
      <x:c r="C410" s="107" t="str">
        <x:v>Scope / deliverable</x:v>
      </x:c>
      <x:c r="D410" s="108" t="str">
        <x:v>Final deliverable: Arabic/RTL specification</x:v>
      </x:c>
      <x:c r="E410" s="108" t="str">
        <x:v>Yes if Arabic approved</x:v>
      </x:c>
      <x:c r="F410" s="109" t="str">
        <x:v>Modify / custom answer</x:v>
      </x:c>
      <x:c r="G410" s="110" t="str">
        <x:v>Yes — Arabic/RTL specification is required for Saudi/GCC V3.0, but remains PENDING VALIDATION until native QA passes.</x:v>
      </x:c>
      <x:c r="H410" s="108" t="str">
        <x:f>IF(F410="Approve recommendation",E410,IF(F410="Modify / custom answer",G410,IF(F410="Reject","Rejected",IF(F410="Defer","Deferred",IF(F410="Needs evidence","Pending evidence","")))))</x:f>
        <x:v>Yes — Arabic/RTL specification is required for Saudi/GCC V3.0, but remains PENDING VALIDATION until native QA passes.</x:v>
      </x:c>
      <x:c r="I410" s="107" t="str">
        <x:f>IF(F410="","Pending",IF(F410="Approve recommendation","Approved",IF(F410="Modify / custom answer",IF(G410="","Action Required","Approved with modification"),IF(F410="Reject","Rejected",IF(F410="Defer","Deferred",IF(F410="Needs evidence","Evidence Required","Pending"))))))</x:f>
        <x:v>Approved with modification</x:v>
      </x:c>
      <x:c r="J410" s="107" t="str">
        <x:v>High</x:v>
      </x:c>
      <x:c r="K410" s="110" t="str">
        <x:v>Brand Owner + Design Custodian + Asset Librarian / Governance PM</x:v>
      </x:c>
      <x:c r="L410" s="110" t="str">
        <x:v>Approved as the V3.0 consultant recommendation, grounded in the current GEM source system and best-practice review.</x:v>
      </x:c>
      <x:c r="M410" s="108" t="str">
        <x:v>No</x:v>
      </x:c>
      <x:c r="N410" s="108" t="str"/>
      <x:c r="O410" s="108" t="str">
        <x:v>V2.1 release package recommendation</x:v>
      </x:c>
      <x:c r="P410" s="108" t="str"/>
      <x:c r="Q410" s="108" t="str"/>
      <x:c r="R410" s="108" t="str">
        <x:v>20 — Templates &amp; Asset Library</x:v>
      </x:c>
      <x:c r="S410" s="110" t="str">
        <x:v>ChatGPT prefill · 06 Oct 2026</x:v>
      </x:c>
    </x:row>
    <x:row r="411" ht="36" customHeight="1">
      <x:c r="A411" s="107" t="str">
        <x:v>AB07</x:v>
      </x:c>
      <x:c r="B411" s="107" t="str">
        <x:v>Final release package</x:v>
      </x:c>
      <x:c r="C411" s="107" t="str">
        <x:v>Scope / deliverable</x:v>
      </x:c>
      <x:c r="D411" s="108" t="str">
        <x:v>Final deliverable: GEM Functional Glyph System source package</x:v>
      </x:c>
      <x:c r="E411" s="108" t="str">
        <x:v>Yes if approved product/wayfinding use cases require glyphs; keep the set minimal and functional.</x:v>
      </x:c>
      <x:c r="F411" s="109" t="str">
        <x:v>Modify / custom answer</x:v>
      </x:c>
      <x:c r="G411" s="110" t="str">
        <x:v>Yes — include a minimal functional glyph source package only for verified hospitality/product/wayfinding use cases; no decorative icon library.</x:v>
      </x:c>
      <x:c r="H411" s="108" t="str">
        <x:f>IF(F411="Approve recommendation",E411,IF(F411="Modify / custom answer",G411,IF(F411="Reject","Rejected",IF(F411="Defer","Deferred",IF(F411="Needs evidence","Pending evidence","")))))</x:f>
        <x:v>Yes — include a minimal functional glyph source package only for verified hospitality/product/wayfinding use cases; no decorative icon library.</x:v>
      </x:c>
      <x:c r="I411" s="107" t="str">
        <x:f>IF(F411="","Pending",IF(F411="Approve recommendation","Approved",IF(F411="Modify / custom answer",IF(G411="","Action Required","Approved with modification"),IF(F411="Reject","Rejected",IF(F411="Defer","Deferred",IF(F411="Needs evidence","Evidence Required","Pending"))))))</x:f>
        <x:v>Approved with modification</x:v>
      </x:c>
      <x:c r="J411" s="107" t="str">
        <x:v>High</x:v>
      </x:c>
      <x:c r="K411" s="110" t="str">
        <x:v>Brand Owner + Design Custodian + Asset Librarian / Governance PM</x:v>
      </x:c>
      <x:c r="L411" s="110" t="str">
        <x:v>Approved as the V3.0 consultant recommendation, grounded in the current GEM source system and best-practice review.</x:v>
      </x:c>
      <x:c r="M411" s="108" t="str">
        <x:v>No</x:v>
      </x:c>
      <x:c r="N411" s="108" t="str"/>
      <x:c r="O411" s="108" t="str">
        <x:v>GEM Design System v2.1 review</x:v>
      </x:c>
      <x:c r="P411" s="108" t="str">
        <x:v>SRC-04</x:v>
      </x:c>
      <x:c r="Q411" s="108" t="str"/>
      <x:c r="R411" s="108" t="str">
        <x:v>11 — Iconography</x:v>
      </x:c>
      <x:c r="S411" s="110" t="str">
        <x:v>ChatGPT prefill · 06 Oct 2026</x:v>
      </x:c>
    </x:row>
    <x:row r="412" ht="36" customHeight="1">
      <x:c r="A412" s="107" t="str">
        <x:v>AB08</x:v>
      </x:c>
      <x:c r="B412" s="107" t="str">
        <x:v>Final release package</x:v>
      </x:c>
      <x:c r="C412" s="107" t="str">
        <x:v>Scope / deliverable</x:v>
      </x:c>
      <x:c r="D412" s="108" t="str">
        <x:v>Final deliverable: Approved image library</x:v>
      </x:c>
      <x:c r="E412" s="108" t="str">
        <x:v>Yes</x:v>
      </x:c>
      <x:c r="F412" s="109" t="str">
        <x:v>Approve recommendation</x:v>
      </x:c>
      <x:c r="G412" s="110"/>
      <x:c r="H412" s="108" t="str">
        <x:f>IF(F412="Approve recommendation",E412,IF(F412="Modify / custom answer",G412,IF(F412="Reject","Rejected",IF(F412="Defer","Deferred",IF(F412="Needs evidence","Pending evidence","")))))</x:f>
        <x:v>Yes</x:v>
      </x:c>
      <x:c r="I412" s="107" t="str">
        <x:f>IF(F412="","Pending",IF(F412="Approve recommendation","Approved",IF(F412="Modify / custom answer",IF(G412="","Action Required","Approved with modification"),IF(F412="Reject","Rejected",IF(F412="Defer","Deferred",IF(F412="Needs evidence","Evidence Required","Pending"))))))</x:f>
        <x:v>Approved</x:v>
      </x:c>
      <x:c r="J412" s="107" t="str">
        <x:v>High</x:v>
      </x:c>
      <x:c r="K412" s="110" t="str">
        <x:v>Brand Owner + Design Custodian + Asset Librarian / Governance PM</x:v>
      </x:c>
      <x:c r="L412" s="110"/>
      <x:c r="M412" s="108" t="str">
        <x:v>No</x:v>
      </x:c>
      <x:c r="N412" s="108" t="str"/>
      <x:c r="O412" s="108" t="str">
        <x:v>V2.1 release package recommendation</x:v>
      </x:c>
      <x:c r="P412" s="108" t="str"/>
      <x:c r="Q412" s="108" t="str"/>
      <x:c r="R412" s="108" t="str">
        <x:v>20 — Templates &amp; Asset Library</x:v>
      </x:c>
      <x:c r="S412" s="110" t="str">
        <x:v>ChatGPT prefill · 06 Oct 2026</x:v>
      </x:c>
    </x:row>
    <x:row r="413" ht="36" customHeight="1">
      <x:c r="A413" s="107" t="str">
        <x:v>AB09</x:v>
      </x:c>
      <x:c r="B413" s="107" t="str">
        <x:v>Final release package</x:v>
      </x:c>
      <x:c r="C413" s="107" t="str">
        <x:v>Scope / deliverable</x:v>
      </x:c>
      <x:c r="D413" s="108" t="str">
        <x:v>Final deliverable: Digital design tokens</x:v>
      </x:c>
      <x:c r="E413" s="108" t="str">
        <x:v>Yes</x:v>
      </x:c>
      <x:c r="F413" s="109" t="str">
        <x:v>Approve recommendation</x:v>
      </x:c>
      <x:c r="G413" s="110"/>
      <x:c r="H413" s="108" t="str">
        <x:f>IF(F413="Approve recommendation",E413,IF(F413="Modify / custom answer",G413,IF(F413="Reject","Rejected",IF(F413="Defer","Deferred",IF(F413="Needs evidence","Pending evidence","")))))</x:f>
        <x:v>Yes</x:v>
      </x:c>
      <x:c r="I413" s="107" t="str">
        <x:f>IF(F413="","Pending",IF(F413="Approve recommendation","Approved",IF(F413="Modify / custom answer",IF(G413="","Action Required","Approved with modification"),IF(F413="Reject","Rejected",IF(F413="Defer","Deferred",IF(F413="Needs evidence","Evidence Required","Pending"))))))</x:f>
        <x:v>Approved</x:v>
      </x:c>
      <x:c r="J413" s="107" t="str">
        <x:v>High</x:v>
      </x:c>
      <x:c r="K413" s="110" t="str">
        <x:v>Brand Owner + Design Custodian + Asset Librarian / Governance PM</x:v>
      </x:c>
      <x:c r="L413" s="110"/>
      <x:c r="M413" s="108" t="str">
        <x:v>No</x:v>
      </x:c>
      <x:c r="N413" s="108" t="str"/>
      <x:c r="O413" s="108" t="str">
        <x:v>V2.1 release package recommendation</x:v>
      </x:c>
      <x:c r="P413" s="108" t="str"/>
      <x:c r="Q413" s="108" t="str"/>
      <x:c r="R413" s="108" t="str">
        <x:v>20 — Templates &amp; Asset Library</x:v>
      </x:c>
      <x:c r="S413" s="110" t="str">
        <x:v>ChatGPT prefill · 06 Oct 2026</x:v>
      </x:c>
    </x:row>
    <x:row r="414" ht="36" customHeight="1">
      <x:c r="A414" s="107" t="str">
        <x:v>AB10</x:v>
      </x:c>
      <x:c r="B414" s="107" t="str">
        <x:v>Final release package</x:v>
      </x:c>
      <x:c r="C414" s="107" t="str">
        <x:v>Scope / deliverable</x:v>
      </x:c>
      <x:c r="D414" s="108" t="str">
        <x:v>Final deliverable: PowerPoint template</x:v>
      </x:c>
      <x:c r="E414" s="108" t="str">
        <x:v>Yes</x:v>
      </x:c>
      <x:c r="F414" s="109" t="str">
        <x:v>Approve recommendation</x:v>
      </x:c>
      <x:c r="G414" s="110"/>
      <x:c r="H414" s="108" t="str">
        <x:f>IF(F414="Approve recommendation",E414,IF(F414="Modify / custom answer",G414,IF(F414="Reject","Rejected",IF(F414="Defer","Deferred",IF(F414="Needs evidence","Pending evidence","")))))</x:f>
        <x:v>Yes</x:v>
      </x:c>
      <x:c r="I414" s="107" t="str">
        <x:f>IF(F414="","Pending",IF(F414="Approve recommendation","Approved",IF(F414="Modify / custom answer",IF(G414="","Action Required","Approved with modification"),IF(F414="Reject","Rejected",IF(F414="Defer","Deferred",IF(F414="Needs evidence","Evidence Required","Pending"))))))</x:f>
        <x:v>Approved</x:v>
      </x:c>
      <x:c r="J414" s="107" t="str">
        <x:v>High</x:v>
      </x:c>
      <x:c r="K414" s="110" t="str">
        <x:v>Brand Owner + Design Custodian + Asset Librarian / Governance PM</x:v>
      </x:c>
      <x:c r="L414" s="110"/>
      <x:c r="M414" s="108" t="str">
        <x:v>No</x:v>
      </x:c>
      <x:c r="N414" s="108" t="str"/>
      <x:c r="O414" s="108" t="str">
        <x:v>V2.1 release package recommendation</x:v>
      </x:c>
      <x:c r="P414" s="108" t="str"/>
      <x:c r="Q414" s="108" t="str"/>
      <x:c r="R414" s="108" t="str">
        <x:v>20 — Templates &amp; Asset Library</x:v>
      </x:c>
      <x:c r="S414" s="110" t="str">
        <x:v>ChatGPT prefill · 06 Oct 2026</x:v>
      </x:c>
    </x:row>
    <x:row r="415" ht="36" customHeight="1">
      <x:c r="A415" s="107" t="str">
        <x:v>AB11</x:v>
      </x:c>
      <x:c r="B415" s="107" t="str">
        <x:v>Final release package</x:v>
      </x:c>
      <x:c r="C415" s="107" t="str">
        <x:v>Scope / deliverable</x:v>
      </x:c>
      <x:c r="D415" s="108" t="str">
        <x:v>Final deliverable: Document templates</x:v>
      </x:c>
      <x:c r="E415" s="108" t="str">
        <x:v>Yes</x:v>
      </x:c>
      <x:c r="F415" s="109" t="str">
        <x:v>Approve recommendation</x:v>
      </x:c>
      <x:c r="G415" s="110"/>
      <x:c r="H415" s="108" t="str">
        <x:f>IF(F415="Approve recommendation",E415,IF(F415="Modify / custom answer",G415,IF(F415="Reject","Rejected",IF(F415="Defer","Deferred",IF(F415="Needs evidence","Pending evidence","")))))</x:f>
        <x:v>Yes</x:v>
      </x:c>
      <x:c r="I415" s="107" t="str">
        <x:f>IF(F415="","Pending",IF(F415="Approve recommendation","Approved",IF(F415="Modify / custom answer",IF(G415="","Action Required","Approved with modification"),IF(F415="Reject","Rejected",IF(F415="Defer","Deferred",IF(F415="Needs evidence","Evidence Required","Pending"))))))</x:f>
        <x:v>Approved</x:v>
      </x:c>
      <x:c r="J415" s="107" t="str">
        <x:v>High</x:v>
      </x:c>
      <x:c r="K415" s="110" t="str">
        <x:v>Brand Owner + Design Custodian + Asset Librarian / Governance PM</x:v>
      </x:c>
      <x:c r="L415" s="110"/>
      <x:c r="M415" s="108" t="str">
        <x:v>No</x:v>
      </x:c>
      <x:c r="N415" s="108" t="str"/>
      <x:c r="O415" s="108" t="str">
        <x:v>V2.1 release package recommendation</x:v>
      </x:c>
      <x:c r="P415" s="108" t="str"/>
      <x:c r="Q415" s="108" t="str"/>
      <x:c r="R415" s="108" t="str">
        <x:v>20 — Templates &amp; Asset Library</x:v>
      </x:c>
      <x:c r="S415" s="110" t="str">
        <x:v>ChatGPT prefill · 06 Oct 2026</x:v>
      </x:c>
    </x:row>
    <x:row r="416" ht="36" customHeight="1">
      <x:c r="A416" s="107" t="str">
        <x:v>AB12</x:v>
      </x:c>
      <x:c r="B416" s="107" t="str">
        <x:v>Final release package</x:v>
      </x:c>
      <x:c r="C416" s="107" t="str">
        <x:v>Scope / deliverable</x:v>
      </x:c>
      <x:c r="D416" s="108" t="str">
        <x:v>Final deliverable: Packaging pilot artwork</x:v>
      </x:c>
      <x:c r="E416" s="108" t="str">
        <x:v>Yes if stream approved</x:v>
      </x:c>
      <x:c r="F416" s="109" t="str">
        <x:v>Modify / custom answer</x:v>
      </x:c>
      <x:c r="G416" s="110" t="str">
        <x:v>Yes — include one controlled bath/body pilot artwork family as the production-validation proof for Amenities &amp; Packaging.</x:v>
      </x:c>
      <x:c r="H416" s="108" t="str">
        <x:f>IF(F416="Approve recommendation",E416,IF(F416="Modify / custom answer",G416,IF(F416="Reject","Rejected",IF(F416="Defer","Deferred",IF(F416="Needs evidence","Pending evidence","")))))</x:f>
        <x:v>Yes — include one controlled bath/body pilot artwork family as the production-validation proof for Amenities &amp; Packaging.</x:v>
      </x:c>
      <x:c r="I416" s="107" t="str">
        <x:f>IF(F416="","Pending",IF(F416="Approve recommendation","Approved",IF(F416="Modify / custom answer",IF(G416="","Action Required","Approved with modification"),IF(F416="Reject","Rejected",IF(F416="Defer","Deferred",IF(F416="Needs evidence","Evidence Required","Pending"))))))</x:f>
        <x:v>Approved with modification</x:v>
      </x:c>
      <x:c r="J416" s="107" t="str">
        <x:v>High</x:v>
      </x:c>
      <x:c r="K416" s="110" t="str">
        <x:v>Brand Owner + Design Custodian + Asset Librarian / Governance PM</x:v>
      </x:c>
      <x:c r="L416" s="110" t="str">
        <x:v>Approved as the V3.0 consultant recommendation, grounded in the current GEM source system and best-practice review.</x:v>
      </x:c>
      <x:c r="M416" s="108" t="str">
        <x:v>No</x:v>
      </x:c>
      <x:c r="N416" s="108" t="str"/>
      <x:c r="O416" s="108" t="str">
        <x:v>V2.1 release package recommendation</x:v>
      </x:c>
      <x:c r="P416" s="108" t="str"/>
      <x:c r="Q416" s="108" t="str"/>
      <x:c r="R416" s="108" t="str">
        <x:v>20 — Templates &amp; Asset Library</x:v>
      </x:c>
      <x:c r="S416" s="110" t="str">
        <x:v>ChatGPT prefill · 06 Oct 2026</x:v>
      </x:c>
    </x:row>
    <x:row r="417" ht="36" customHeight="1">
      <x:c r="A417" s="107" t="str">
        <x:v>AB13</x:v>
      </x:c>
      <x:c r="B417" s="107" t="str">
        <x:v>Final release package</x:v>
      </x:c>
      <x:c r="C417" s="107" t="str">
        <x:v>Decision + evidence</x:v>
      </x:c>
      <x:c r="D417" s="108" t="str">
        <x:v>Final deliverable: Supplier proof/reference</x:v>
      </x:c>
      <x:c r="E417" s="108" t="str">
        <x:v>Yes if packaging approved</x:v>
      </x:c>
      <x:c r="F417" s="109" t="str">
        <x:v>Approve recommendation</x:v>
      </x:c>
      <x:c r="G417" s="110"/>
      <x:c r="H417" s="108" t="str">
        <x:f>IF(F417="Approve recommendation",E417,IF(F417="Modify / custom answer",G417,IF(F417="Reject","Rejected",IF(F417="Defer","Deferred",IF(F417="Needs evidence","Pending evidence","")))))</x:f>
        <x:v>Yes if packaging approved</x:v>
      </x:c>
      <x:c r="I417" s="107" t="str">
        <x:f>IF(F417="","Pending",IF(F417="Approve recommendation","Approved",IF(F417="Modify / custom answer",IF(G417="","Action Required","Approved with modification"),IF(F417="Reject","Rejected",IF(F417="Defer","Deferred",IF(F417="Needs evidence","Evidence Required","Pending"))))))</x:f>
        <x:v>Approved</x:v>
      </x:c>
      <x:c r="J417" s="107" t="str">
        <x:v>High</x:v>
      </x:c>
      <x:c r="K417" s="110" t="str">
        <x:v>Brand Owner + Design Custodian + Asset Librarian / Governance PM</x:v>
      </x:c>
      <x:c r="L417" s="110"/>
      <x:c r="M417" s="108" t="str">
        <x:v>Yes</x:v>
      </x:c>
      <x:c r="N417" s="108" t="str"/>
      <x:c r="O417" s="108" t="str">
        <x:v>V2.1 release package recommendation</x:v>
      </x:c>
      <x:c r="P417" s="108" t="str"/>
      <x:c r="Q417" s="108" t="str"/>
      <x:c r="R417" s="108" t="str">
        <x:v>20 — Templates &amp; Asset Library</x:v>
      </x:c>
      <x:c r="S417" s="110" t="str">
        <x:v>ChatGPT prefill · 06 Oct 2026</x:v>
      </x:c>
    </x:row>
    <x:row r="418" ht="36" customHeight="1">
      <x:c r="A418" s="107" t="str">
        <x:v>AB14</x:v>
      </x:c>
      <x:c r="B418" s="107" t="str">
        <x:v>Final release package</x:v>
      </x:c>
      <x:c r="C418" s="107" t="str">
        <x:v>Scope / deliverable</x:v>
      </x:c>
      <x:c r="D418" s="108" t="str">
        <x:v>Final deliverable: Wayfinding specification</x:v>
      </x:c>
      <x:c r="E418" s="108" t="str">
        <x:v>Yes if environmental scope approved</x:v>
      </x:c>
      <x:c r="F418" s="109" t="str">
        <x:v>Modify / custom answer</x:v>
      </x:c>
      <x:c r="G418" s="110" t="str">
        <x:v>Include an environmental/wayfinding specification framework. Project-specific fabrication drawings remain conditional on a live property brief.</x:v>
      </x:c>
      <x:c r="H418" s="108" t="str">
        <x:f>IF(F418="Approve recommendation",E418,IF(F418="Modify / custom answer",G418,IF(F418="Reject","Rejected",IF(F418="Defer","Deferred",IF(F418="Needs evidence","Pending evidence","")))))</x:f>
        <x:v>Include an environmental/wayfinding specification framework. Project-specific fabrication drawings remain conditional on a live property brief.</x:v>
      </x:c>
      <x:c r="I418" s="107" t="str">
        <x:f>IF(F418="","Pending",IF(F418="Approve recommendation","Approved",IF(F418="Modify / custom answer",IF(G418="","Action Required","Approved with modification"),IF(F418="Reject","Rejected",IF(F418="Defer","Deferred",IF(F418="Needs evidence","Evidence Required","Pending"))))))</x:f>
        <x:v>Approved with modification</x:v>
      </x:c>
      <x:c r="J418" s="107" t="str">
        <x:v>High</x:v>
      </x:c>
      <x:c r="K418" s="110" t="str">
        <x:v>Brand Owner + Design Custodian + Asset Librarian / Governance PM</x:v>
      </x:c>
      <x:c r="L418" s="110" t="str">
        <x:v>Approved as the V3.0 consultant recommendation, grounded in the current GEM source system and best-practice review.</x:v>
      </x:c>
      <x:c r="M418" s="108" t="str">
        <x:v>No</x:v>
      </x:c>
      <x:c r="N418" s="108" t="str"/>
      <x:c r="O418" s="108" t="str">
        <x:v>V2.1 release package recommendation</x:v>
      </x:c>
      <x:c r="P418" s="108" t="str"/>
      <x:c r="Q418" s="108" t="str"/>
      <x:c r="R418" s="108" t="str">
        <x:v>20 — Templates &amp; Asset Library</x:v>
      </x:c>
      <x:c r="S418" s="110" t="str">
        <x:v>ChatGPT prefill · 06 Oct 2026</x:v>
      </x:c>
    </x:row>
    <x:row r="419" ht="36" customHeight="1">
      <x:c r="A419" s="107" t="str">
        <x:v>AB15</x:v>
      </x:c>
      <x:c r="B419" s="107" t="str">
        <x:v>Final release package</x:v>
      </x:c>
      <x:c r="C419" s="107" t="str">
        <x:v>Scope / deliverable</x:v>
      </x:c>
      <x:c r="D419" s="108" t="str">
        <x:v>Final deliverable: Accessibility QA record</x:v>
      </x:c>
      <x:c r="E419" s="108" t="str">
        <x:v>Yes</x:v>
      </x:c>
      <x:c r="F419" s="109" t="str">
        <x:v>Approve recommendation</x:v>
      </x:c>
      <x:c r="G419" s="110"/>
      <x:c r="H419" s="108" t="str">
        <x:f>IF(F419="Approve recommendation",E419,IF(F419="Modify / custom answer",G419,IF(F419="Reject","Rejected",IF(F419="Defer","Deferred",IF(F419="Needs evidence","Pending evidence","")))))</x:f>
        <x:v>Yes</x:v>
      </x:c>
      <x:c r="I419" s="107" t="str">
        <x:f>IF(F419="","Pending",IF(F419="Approve recommendation","Approved",IF(F419="Modify / custom answer",IF(G419="","Action Required","Approved with modification"),IF(F419="Reject","Rejected",IF(F419="Defer","Deferred",IF(F419="Needs evidence","Evidence Required","Pending"))))))</x:f>
        <x:v>Approved</x:v>
      </x:c>
      <x:c r="J419" s="107" t="str">
        <x:v>High</x:v>
      </x:c>
      <x:c r="K419" s="110" t="str">
        <x:v>Brand Owner + Design Custodian + Asset Librarian / Governance PM</x:v>
      </x:c>
      <x:c r="L419" s="110"/>
      <x:c r="M419" s="108" t="str">
        <x:v>Yes</x:v>
      </x:c>
      <x:c r="N419" s="108" t="str"/>
      <x:c r="O419" s="108" t="str">
        <x:v>V2.1 release package recommendation</x:v>
      </x:c>
      <x:c r="P419" s="108" t="str"/>
      <x:c r="Q419" s="108" t="str"/>
      <x:c r="R419" s="108" t="str">
        <x:v>20 — Templates &amp; Asset Library</x:v>
      </x:c>
      <x:c r="S419" s="110" t="str">
        <x:v>ChatGPT prefill · 06 Oct 2026</x:v>
      </x:c>
    </x:row>
    <x:row r="420" ht="36" customHeight="1">
      <x:c r="A420" s="107" t="str">
        <x:v>AB16</x:v>
      </x:c>
      <x:c r="B420" s="107" t="str">
        <x:v>Final release package</x:v>
      </x:c>
      <x:c r="C420" s="107" t="str">
        <x:v>Scope / deliverable</x:v>
      </x:c>
      <x:c r="D420" s="108" t="str">
        <x:v>Final deliverable: Approval/decision register</x:v>
      </x:c>
      <x:c r="E420" s="108" t="str">
        <x:v>Yes</x:v>
      </x:c>
      <x:c r="F420" s="109" t="str">
        <x:v>Approve recommendation</x:v>
      </x:c>
      <x:c r="G420" s="110"/>
      <x:c r="H420" s="108" t="str">
        <x:f>IF(F420="Approve recommendation",E420,IF(F420="Modify / custom answer",G420,IF(F420="Reject","Rejected",IF(F420="Defer","Deferred",IF(F420="Needs evidence","Pending evidence","")))))</x:f>
        <x:v>Yes</x:v>
      </x:c>
      <x:c r="I420" s="107" t="str">
        <x:f>IF(F420="","Pending",IF(F420="Approve recommendation","Approved",IF(F420="Modify / custom answer",IF(G420="","Action Required","Approved with modification"),IF(F420="Reject","Rejected",IF(F420="Defer","Deferred",IF(F420="Needs evidence","Evidence Required","Pending"))))))</x:f>
        <x:v>Approved</x:v>
      </x:c>
      <x:c r="J420" s="107" t="str">
        <x:v>High</x:v>
      </x:c>
      <x:c r="K420" s="110" t="str">
        <x:v>Brand Owner + Design Custodian + Asset Librarian / Governance PM</x:v>
      </x:c>
      <x:c r="L420" s="110"/>
      <x:c r="M420" s="108" t="str">
        <x:v>No</x:v>
      </x:c>
      <x:c r="N420" s="108" t="str"/>
      <x:c r="O420" s="108" t="str">
        <x:v>V2.1 release package recommendation</x:v>
      </x:c>
      <x:c r="P420" s="108" t="str"/>
      <x:c r="Q420" s="108" t="str"/>
      <x:c r="R420" s="108" t="str">
        <x:v>20 — Templates &amp; Asset Library</x:v>
      </x:c>
      <x:c r="S420" s="110" t="str">
        <x:v>ChatGPT prefill · 06 Oct 2026</x:v>
      </x:c>
    </x:row>
    <x:row r="421" ht="36" customHeight="1">
      <x:c r="A421" s="107" t="str">
        <x:v>AB17</x:v>
      </x:c>
      <x:c r="B421" s="107" t="str">
        <x:v>Final release package</x:v>
      </x:c>
      <x:c r="C421" s="107" t="str">
        <x:v>Scope / deliverable</x:v>
      </x:c>
      <x:c r="D421" s="108" t="str">
        <x:v>Final deliverable: Asset manifest</x:v>
      </x:c>
      <x:c r="E421" s="108" t="str">
        <x:v>Yes</x:v>
      </x:c>
      <x:c r="F421" s="109" t="str">
        <x:v>Approve recommendation</x:v>
      </x:c>
      <x:c r="G421" s="110"/>
      <x:c r="H421" s="108" t="str">
        <x:f>IF(F421="Approve recommendation",E421,IF(F421="Modify / custom answer",G421,IF(F421="Reject","Rejected",IF(F421="Defer","Deferred",IF(F421="Needs evidence","Pending evidence","")))))</x:f>
        <x:v>Yes</x:v>
      </x:c>
      <x:c r="I421" s="107" t="str">
        <x:f>IF(F421="","Pending",IF(F421="Approve recommendation","Approved",IF(F421="Modify / custom answer",IF(G421="","Action Required","Approved with modification"),IF(F421="Reject","Rejected",IF(F421="Defer","Deferred",IF(F421="Needs evidence","Evidence Required","Pending"))))))</x:f>
        <x:v>Approved</x:v>
      </x:c>
      <x:c r="J421" s="107" t="str">
        <x:v>High</x:v>
      </x:c>
      <x:c r="K421" s="110" t="str">
        <x:v>Brand Owner + Design Custodian + Asset Librarian / Governance PM</x:v>
      </x:c>
      <x:c r="L421" s="110"/>
      <x:c r="M421" s="108" t="str">
        <x:v>No</x:v>
      </x:c>
      <x:c r="N421" s="108" t="str"/>
      <x:c r="O421" s="108" t="str">
        <x:v>V2.1 release package recommendation</x:v>
      </x:c>
      <x:c r="P421" s="108" t="str"/>
      <x:c r="Q421" s="108" t="str"/>
      <x:c r="R421" s="108" t="str">
        <x:v>20 — Templates &amp; Asset Library</x:v>
      </x:c>
      <x:c r="S421" s="110" t="str">
        <x:v>ChatGPT prefill · 06 Oct 2026</x:v>
      </x:c>
    </x:row>
    <x:row r="422" ht="36" customHeight="1">
      <x:c r="A422" s="107" t="str">
        <x:v>AB18</x:v>
      </x:c>
      <x:c r="B422" s="107" t="str">
        <x:v>Final release package</x:v>
      </x:c>
      <x:c r="C422" s="107" t="str">
        <x:v>Scope / deliverable</x:v>
      </x:c>
      <x:c r="D422" s="108" t="str">
        <x:v>Final deliverable: V1/V2 archive</x:v>
      </x:c>
      <x:c r="E422" s="108" t="str">
        <x:v>Yes</x:v>
      </x:c>
      <x:c r="F422" s="109" t="str">
        <x:v>Approve recommendation</x:v>
      </x:c>
      <x:c r="G422" s="110"/>
      <x:c r="H422" s="108" t="str">
        <x:f>IF(F422="Approve recommendation",E422,IF(F422="Modify / custom answer",G422,IF(F422="Reject","Rejected",IF(F422="Defer","Deferred",IF(F422="Needs evidence","Pending evidence","")))))</x:f>
        <x:v>Yes</x:v>
      </x:c>
      <x:c r="I422" s="107" t="str">
        <x:f>IF(F422="","Pending",IF(F422="Approve recommendation","Approved",IF(F422="Modify / custom answer",IF(G422="","Action Required","Approved with modification"),IF(F422="Reject","Rejected",IF(F422="Defer","Deferred",IF(F422="Needs evidence","Evidence Required","Pending"))))))</x:f>
        <x:v>Approved</x:v>
      </x:c>
      <x:c r="J422" s="107" t="str">
        <x:v>High</x:v>
      </x:c>
      <x:c r="K422" s="110" t="str">
        <x:v>Brand Owner + Design Custodian + Asset Librarian / Governance PM</x:v>
      </x:c>
      <x:c r="L422" s="110"/>
      <x:c r="M422" s="108" t="str">
        <x:v>No</x:v>
      </x:c>
      <x:c r="N422" s="108" t="str"/>
      <x:c r="O422" s="108" t="str">
        <x:v>V2.1 release package recommendation</x:v>
      </x:c>
      <x:c r="P422" s="108" t="str"/>
      <x:c r="Q422" s="108" t="str"/>
      <x:c r="R422" s="108" t="str">
        <x:v>20 — Templates &amp; Asset Library</x:v>
      </x:c>
      <x:c r="S422" s="110" t="str">
        <x:v>ChatGPT prefill · 06 Oct 2026</x:v>
      </x:c>
    </x:row>
    <x:row r="423" ht="36" customHeight="1">
      <x:c r="A423" s="107" t="str">
        <x:v>AB19</x:v>
      </x:c>
      <x:c r="B423" s="107" t="str">
        <x:v>Final release package</x:v>
      </x:c>
      <x:c r="C423" s="107" t="str">
        <x:v>Scope / deliverable</x:v>
      </x:c>
      <x:c r="D423" s="108" t="str">
        <x:v>Final deliverable: V3.0 change log</x:v>
      </x:c>
      <x:c r="E423" s="108" t="str">
        <x:v>Yes</x:v>
      </x:c>
      <x:c r="F423" s="109" t="str">
        <x:v>Approve recommendation</x:v>
      </x:c>
      <x:c r="G423" s="110"/>
      <x:c r="H423" s="108" t="str">
        <x:f>IF(F423="Approve recommendation",E423,IF(F423="Modify / custom answer",G423,IF(F423="Reject","Rejected",IF(F423="Defer","Deferred",IF(F423="Needs evidence","Pending evidence","")))))</x:f>
        <x:v>Yes</x:v>
      </x:c>
      <x:c r="I423" s="107" t="str">
        <x:f>IF(F423="","Pending",IF(F423="Approve recommendation","Approved",IF(F423="Modify / custom answer",IF(G423="","Action Required","Approved with modification"),IF(F423="Reject","Rejected",IF(F423="Defer","Deferred",IF(F423="Needs evidence","Evidence Required","Pending"))))))</x:f>
        <x:v>Approved</x:v>
      </x:c>
      <x:c r="J423" s="107" t="str">
        <x:v>High</x:v>
      </x:c>
      <x:c r="K423" s="110" t="str">
        <x:v>Brand Owner + Design Custodian + Asset Librarian / Governance PM</x:v>
      </x:c>
      <x:c r="L423" s="110"/>
      <x:c r="M423" s="108" t="str">
        <x:v>No</x:v>
      </x:c>
      <x:c r="N423" s="108" t="str"/>
      <x:c r="O423" s="108" t="str">
        <x:v>V2.1 release package recommendation</x:v>
      </x:c>
      <x:c r="P423" s="108" t="str"/>
      <x:c r="Q423" s="108" t="str"/>
      <x:c r="R423" s="108" t="str">
        <x:v>20 — Templates &amp; Asset Library</x:v>
      </x:c>
      <x:c r="S423" s="110" t="str">
        <x:v>ChatGPT prefill · 06 Oct 2026</x:v>
      </x:c>
    </x:row>
    <x:row r="424" ht="36" customHeight="1">
      <x:c r="A424" s="107" t="str">
        <x:v>AB20</x:v>
      </x:c>
      <x:c r="B424" s="107" t="str">
        <x:v>Final release package</x:v>
      </x:c>
      <x:c r="C424" s="107" t="str">
        <x:v>Scope / deliverable</x:v>
      </x:c>
      <x:c r="D424" s="108" t="str">
        <x:v>Final deliverable: Named owners and next-review date</x:v>
      </x:c>
      <x:c r="E424" s="108" t="str">
        <x:v>Yes</x:v>
      </x:c>
      <x:c r="F424" s="109" t="str">
        <x:v>Approve recommendation</x:v>
      </x:c>
      <x:c r="G424" s="110"/>
      <x:c r="H424" s="108" t="str">
        <x:f>IF(F424="Approve recommendation",E424,IF(F424="Modify / custom answer",G424,IF(F424="Reject","Rejected",IF(F424="Defer","Deferred",IF(F424="Needs evidence","Pending evidence","")))))</x:f>
        <x:v>Yes</x:v>
      </x:c>
      <x:c r="I424" s="107" t="str">
        <x:f>IF(F424="","Pending",IF(F424="Approve recommendation","Approved",IF(F424="Modify / custom answer",IF(G424="","Action Required","Approved with modification"),IF(F424="Reject","Rejected",IF(F424="Defer","Deferred",IF(F424="Needs evidence","Evidence Required","Pending"))))))</x:f>
        <x:v>Approved</x:v>
      </x:c>
      <x:c r="J424" s="107" t="str">
        <x:v>High</x:v>
      </x:c>
      <x:c r="K424" s="110" t="str">
        <x:v>Brand Owner + Design Custodian + Asset Librarian / Governance PM</x:v>
      </x:c>
      <x:c r="L424" s="110"/>
      <x:c r="M424" s="108" t="str">
        <x:v>No</x:v>
      </x:c>
      <x:c r="N424" s="108" t="str"/>
      <x:c r="O424" s="108" t="str">
        <x:v>V2.1 release package recommendation</x:v>
      </x:c>
      <x:c r="P424" s="108" t="str"/>
      <x:c r="Q424" s="108" t="str"/>
      <x:c r="R424" s="108" t="str">
        <x:v>20 — Templates &amp; Asset Library</x:v>
      </x:c>
      <x:c r="S424" s="110" t="str">
        <x:v>ChatGPT prefill · 06 Oct 2026</x:v>
      </x:c>
    </x:row>
    <x:row r="425" ht="36" customHeight="1">
      <x:c r="A425" s="107" t="str">
        <x:v>AC01</x:v>
      </x:c>
      <x:c r="B425" s="107" t="str">
        <x:v>Final sign-off</x:v>
      </x:c>
      <x:c r="C425" s="107" t="str">
        <x:v>Approval / Legal gate</x:v>
      </x:c>
      <x:c r="D425" s="108" t="str">
        <x:v>Brand strategy approved</x:v>
      </x:c>
      <x:c r="E425" s="108" t="str">
        <x:v>Approve / complete before release</x:v>
      </x:c>
      <x:c r="F425" s="109" t="str">
        <x:v>Modify / custom answer</x:v>
      </x:c>
      <x:c r="G425" s="110" t="str">
        <x:v>Approved — the brand strategy is sufficiently defined for V3.0, subject to final Brand Owner ratification.</x:v>
      </x:c>
      <x:c r="H425" s="108" t="str">
        <x:f>IF(F425="Approve recommendation",E425,IF(F425="Modify / custom answer",G425,IF(F425="Reject","Rejected",IF(F425="Defer","Deferred",IF(F425="Needs evidence","Pending evidence","")))))</x:f>
        <x:v>Approved — the brand strategy is sufficiently defined for V3.0, subject to final Brand Owner ratification.</x:v>
      </x:c>
      <x:c r="I425" s="107" t="str">
        <x:f>IF(F425="","Pending",IF(F425="Approve recommendation","Approved",IF(F425="Modify / custom answer",IF(G425="","Action Required","Approved with modification"),IF(F425="Reject","Rejected",IF(F425="Defer","Deferred",IF(F425="Needs evidence","Evidence Required","Pending"))))))</x:f>
        <x:v>Approved with modification</x:v>
      </x:c>
      <x:c r="J425" s="107" t="str">
        <x:v>Critical</x:v>
      </x:c>
      <x:c r="K425" s="110" t="str">
        <x:v>Brand Owner</x:v>
      </x:c>
      <x:c r="L425" s="110" t="str">
        <x:v>Approved as the V3.0 consultant recommendation, grounded in the current GEM source system and best-practice review.</x:v>
      </x:c>
      <x:c r="M425" s="108" t="str">
        <x:v>Yes</x:v>
      </x:c>
      <x:c r="N425" s="108" t="str"/>
      <x:c r="O425" s="108" t="str">
        <x:v>Final sign-off</x:v>
      </x:c>
      <x:c r="P425" s="108" t="str"/>
      <x:c r="Q425" s="108" t="str"/>
      <x:c r="R425" s="108" t="str">
        <x:v>21 — Governance &amp; Approval Workflow</x:v>
      </x:c>
      <x:c r="S425" s="110" t="str">
        <x:v>ChatGPT prefill · 06 Oct 2026</x:v>
      </x:c>
    </x:row>
    <x:row r="426" ht="36" customHeight="1">
      <x:c r="A426" s="107" t="str">
        <x:v>AC02</x:v>
      </x:c>
      <x:c r="B426" s="107" t="str">
        <x:v>Final sign-off</x:v>
      </x:c>
      <x:c r="C426" s="107" t="str">
        <x:v>Approval / Legal gate</x:v>
      </x:c>
      <x:c r="D426" s="108" t="str">
        <x:v>Master-brand architecture approved</x:v>
      </x:c>
      <x:c r="E426" s="108" t="str">
        <x:v>Approve / complete before release</x:v>
      </x:c>
      <x:c r="F426" s="109" t="str">
        <x:v>Modify / custom answer</x:v>
      </x:c>
      <x:c r="G426" s="110" t="str">
        <x:v>Approved — single master brand; Amenities &amp; Packaging is a descriptive business stream; GEM is positioned as a supplier/partner rather than a hotel operator.</x:v>
      </x:c>
      <x:c r="H426" s="108" t="str">
        <x:f>IF(F426="Approve recommendation",E426,IF(F426="Modify / custom answer",G426,IF(F426="Reject","Rejected",IF(F426="Defer","Deferred",IF(F426="Needs evidence","Pending evidence","")))))</x:f>
        <x:v>Approved — single master brand; Amenities &amp; Packaging is a descriptive business stream; GEM is positioned as a supplier/partner rather than a hotel operator.</x:v>
      </x:c>
      <x:c r="I426" s="107" t="str">
        <x:f>IF(F426="","Pending",IF(F426="Approve recommendation","Approved",IF(F426="Modify / custom answer",IF(G426="","Action Required","Approved with modification"),IF(F426="Reject","Rejected",IF(F426="Defer","Deferred",IF(F426="Needs evidence","Evidence Required","Pending"))))))</x:f>
        <x:v>Approved with modification</x:v>
      </x:c>
      <x:c r="J426" s="107" t="str">
        <x:v>Critical</x:v>
      </x:c>
      <x:c r="K426" s="110" t="str">
        <x:v>Brand Owner</x:v>
      </x:c>
      <x:c r="L426" s="110" t="str">
        <x:v>Approved as the V3.0 consultant recommendation, grounded in the current GEM source system and best-practice review.</x:v>
      </x:c>
      <x:c r="M426" s="108" t="str">
        <x:v>Yes</x:v>
      </x:c>
      <x:c r="N426" s="108" t="str"/>
      <x:c r="O426" s="108" t="str">
        <x:v>Final sign-off</x:v>
      </x:c>
      <x:c r="P426" s="108" t="str"/>
      <x:c r="Q426" s="108" t="str"/>
      <x:c r="R426" s="108" t="str">
        <x:v>21 — Governance &amp; Approval Workflow</x:v>
      </x:c>
      <x:c r="S426" s="110" t="str">
        <x:v>ChatGPT prefill · 06 Oct 2026</x:v>
      </x:c>
    </x:row>
    <x:row r="427" ht="36" customHeight="1">
      <x:c r="A427" s="107" t="str">
        <x:v>AC03</x:v>
      </x:c>
      <x:c r="B427" s="107" t="str">
        <x:v>Final sign-off</x:v>
      </x:c>
      <x:c r="C427" s="107" t="str">
        <x:v>Approval / Legal gate</x:v>
      </x:c>
      <x:c r="D427" s="108" t="str">
        <x:v>Amenities &amp; Packaging scope approved</x:v>
      </x:c>
      <x:c r="E427" s="108" t="str">
        <x:v>Approve or formally defer</x:v>
      </x:c>
      <x:c r="F427" s="109" t="str">
        <x:v>Modify / custom answer</x:v>
      </x:c>
      <x:c r="G427" s="110" t="str">
        <x:v>Approved with condition — Amenities &amp; Packaging is the V3.0 business stream; operational capability evidence remains open under VAL-01.</x:v>
      </x:c>
      <x:c r="H427" s="108" t="str">
        <x:f>IF(F427="Approve recommendation",E427,IF(F427="Modify / custom answer",G427,IF(F427="Reject","Rejected",IF(F427="Defer","Deferred",IF(F427="Needs evidence","Pending evidence","")))))</x:f>
        <x:v>Approved with condition — Amenities &amp; Packaging is the V3.0 business stream; operational capability evidence remains open under VAL-01.</x:v>
      </x:c>
      <x:c r="I427" s="107" t="str">
        <x:f>IF(F427="","Pending",IF(F427="Approve recommendation","Approved",IF(F427="Modify / custom answer",IF(G427="","Action Required","Approved with modification"),IF(F427="Reject","Rejected",IF(F427="Defer","Deferred",IF(F427="Needs evidence","Evidence Required","Pending"))))))</x:f>
        <x:v>Approved with modification</x:v>
      </x:c>
      <x:c r="J427" s="107" t="str">
        <x:v>Critical</x:v>
      </x:c>
      <x:c r="K427" s="110" t="str">
        <x:v>Brand Owner</x:v>
      </x:c>
      <x:c r="L427" s="110" t="str">
        <x:v>Approved as the V3.0 consultant recommendation, grounded in the current GEM source system and best-practice review.</x:v>
      </x:c>
      <x:c r="M427" s="108" t="str">
        <x:v>Yes</x:v>
      </x:c>
      <x:c r="N427" s="108" t="str"/>
      <x:c r="O427" s="108" t="str">
        <x:v>Final sign-off</x:v>
      </x:c>
      <x:c r="P427" s="108" t="str"/>
      <x:c r="Q427" s="108" t="str"/>
      <x:c r="R427" s="108" t="str">
        <x:v>21 — Governance &amp; Approval Workflow</x:v>
      </x:c>
      <x:c r="S427" s="110" t="str">
        <x:v>ChatGPT prefill · 06 Oct 2026</x:v>
      </x:c>
    </x:row>
    <x:row r="428" ht="36" customHeight="1">
      <x:c r="A428" s="107" t="str">
        <x:v>AC04</x:v>
      </x:c>
      <x:c r="B428" s="107" t="str">
        <x:v>Final sign-off</x:v>
      </x:c>
      <x:c r="C428" s="107" t="str">
        <x:v>Approval / Legal gate</x:v>
      </x:c>
      <x:c r="D428" s="108" t="str">
        <x:v>Verbal identity approved</x:v>
      </x:c>
      <x:c r="E428" s="108" t="str">
        <x:v>Approve / complete before release</x:v>
      </x:c>
      <x:c r="F428" s="109" t="str">
        <x:v>Modify / custom answer</x:v>
      </x:c>
      <x:c r="G428" s="110" t="str">
        <x:v>Approved — verbal identity and UX-writing principles are accepted for V3.0.</x:v>
      </x:c>
      <x:c r="H428" s="108" t="str">
        <x:f>IF(F428="Approve recommendation",E428,IF(F428="Modify / custom answer",G428,IF(F428="Reject","Rejected",IF(F428="Defer","Deferred",IF(F428="Needs evidence","Pending evidence","")))))</x:f>
        <x:v>Approved — verbal identity and UX-writing principles are accepted for V3.0.</x:v>
      </x:c>
      <x:c r="I428" s="107" t="str">
        <x:f>IF(F428="","Pending",IF(F428="Approve recommendation","Approved",IF(F428="Modify / custom answer",IF(G428="","Action Required","Approved with modification"),IF(F428="Reject","Rejected",IF(F428="Defer","Deferred",IF(F428="Needs evidence","Evidence Required","Pending"))))))</x:f>
        <x:v>Approved with modification</x:v>
      </x:c>
      <x:c r="J428" s="107" t="str">
        <x:v>Critical</x:v>
      </x:c>
      <x:c r="K428" s="110" t="str">
        <x:v>Brand Owner</x:v>
      </x:c>
      <x:c r="L428" s="110" t="str">
        <x:v>Approved as the V3.0 consultant recommendation, grounded in the current GEM source system and best-practice review.</x:v>
      </x:c>
      <x:c r="M428" s="108" t="str">
        <x:v>Yes</x:v>
      </x:c>
      <x:c r="N428" s="108" t="str"/>
      <x:c r="O428" s="108" t="str">
        <x:v>Final sign-off</x:v>
      </x:c>
      <x:c r="P428" s="108" t="str"/>
      <x:c r="Q428" s="108" t="str"/>
      <x:c r="R428" s="108" t="str">
        <x:v>21 — Governance &amp; Approval Workflow</x:v>
      </x:c>
      <x:c r="S428" s="110" t="str">
        <x:v>ChatGPT prefill · 06 Oct 2026</x:v>
      </x:c>
    </x:row>
    <x:row r="429" ht="36" customHeight="1">
      <x:c r="A429" s="107" t="str">
        <x:v>AC05</x:v>
      </x:c>
      <x:c r="B429" s="107" t="str">
        <x:v>Final sign-off</x:v>
      </x:c>
      <x:c r="C429" s="107" t="str">
        <x:v>Approval / Legal gate</x:v>
      </x:c>
      <x:c r="D429" s="108" t="str">
        <x:v>Primary tagline approved</x:v>
      </x:c>
      <x:c r="E429" s="108" t="str">
        <x:v>Approve / complete before release</x:v>
      </x:c>
      <x:c r="F429" s="109" t="str">
        <x:v>Modify / custom answer</x:v>
      </x:c>
      <x:c r="G429" s="110" t="str">
        <x:v>Approved — HOSPITALITY, IN PERFECT PROPORTION remains the primary fixed tagline.</x:v>
      </x:c>
      <x:c r="H429" s="108" t="str">
        <x:f>IF(F429="Approve recommendation",E429,IF(F429="Modify / custom answer",G429,IF(F429="Reject","Rejected",IF(F429="Defer","Deferred",IF(F429="Needs evidence","Pending evidence","")))))</x:f>
        <x:v>Approved — HOSPITALITY, IN PERFECT PROPORTION remains the primary fixed tagline.</x:v>
      </x:c>
      <x:c r="I429" s="107" t="str">
        <x:f>IF(F429="","Pending",IF(F429="Approve recommendation","Approved",IF(F429="Modify / custom answer",IF(G429="","Action Required","Approved with modification"),IF(F429="Reject","Rejected",IF(F429="Defer","Deferred",IF(F429="Needs evidence","Evidence Required","Pending"))))))</x:f>
        <x:v>Approved with modification</x:v>
      </x:c>
      <x:c r="J429" s="107" t="str">
        <x:v>Critical</x:v>
      </x:c>
      <x:c r="K429" s="110" t="str">
        <x:v>Brand Owner</x:v>
      </x:c>
      <x:c r="L429" s="110" t="str">
        <x:v>Approved as the V3.0 consultant recommendation, grounded in the current GEM source system and best-practice review.</x:v>
      </x:c>
      <x:c r="M429" s="108" t="str">
        <x:v>Yes</x:v>
      </x:c>
      <x:c r="N429" s="108" t="str"/>
      <x:c r="O429" s="108" t="str">
        <x:v>Final sign-off</x:v>
      </x:c>
      <x:c r="P429" s="108" t="str"/>
      <x:c r="Q429" s="108" t="str"/>
      <x:c r="R429" s="108" t="str">
        <x:v>21 — Governance &amp; Approval Workflow</x:v>
      </x:c>
      <x:c r="S429" s="110" t="str">
        <x:v>ChatGPT prefill · 06 Oct 2026</x:v>
      </x:c>
    </x:row>
    <x:row r="430" ht="36" customHeight="1">
      <x:c r="A430" s="107" t="str">
        <x:v>AC06</x:v>
      </x:c>
      <x:c r="B430" s="107" t="str">
        <x:v>Final sign-off</x:v>
      </x:c>
      <x:c r="C430" s="107" t="str">
        <x:v>Approval / Legal gate</x:v>
      </x:c>
      <x:c r="D430" s="108" t="str">
        <x:v>Logo geometry approved</x:v>
      </x:c>
      <x:c r="E430" s="108" t="str">
        <x:v>Approve / complete before release</x:v>
      </x:c>
      <x:c r="F430" s="109" t="str">
        <x:v>Modify / custom answer</x:v>
      </x:c>
      <x:c r="G430" s="110" t="str">
        <x:v>Approved — current G-ring / quarter mass / spark geometry is the master identity direction.</x:v>
      </x:c>
      <x:c r="H430" s="108" t="str">
        <x:f>IF(F430="Approve recommendation",E430,IF(F430="Modify / custom answer",G430,IF(F430="Reject","Rejected",IF(F430="Defer","Deferred",IF(F430="Needs evidence","Pending evidence","")))))</x:f>
        <x:v>Approved — current G-ring / quarter mass / spark geometry is the master identity direction.</x:v>
      </x:c>
      <x:c r="I430" s="107" t="str">
        <x:f>IF(F430="","Pending",IF(F430="Approve recommendation","Approved",IF(F430="Modify / custom answer",IF(G430="","Action Required","Approved with modification"),IF(F430="Reject","Rejected",IF(F430="Defer","Deferred",IF(F430="Needs evidence","Evidence Required","Pending"))))))</x:f>
        <x:v>Approved with modification</x:v>
      </x:c>
      <x:c r="J430" s="107" t="str">
        <x:v>Critical</x:v>
      </x:c>
      <x:c r="K430" s="110" t="str">
        <x:v>Brand Owner</x:v>
      </x:c>
      <x:c r="L430" s="110" t="str">
        <x:v>Approved as the V3.0 consultant recommendation, grounded in the current GEM source system and best-practice review.</x:v>
      </x:c>
      <x:c r="M430" s="108" t="str">
        <x:v>Yes</x:v>
      </x:c>
      <x:c r="N430" s="108" t="str"/>
      <x:c r="O430" s="108" t="str">
        <x:v>Final sign-off</x:v>
      </x:c>
      <x:c r="P430" s="108" t="str"/>
      <x:c r="Q430" s="108" t="str"/>
      <x:c r="R430" s="108" t="str">
        <x:v>21 — Governance &amp; Approval Workflow</x:v>
      </x:c>
      <x:c r="S430" s="110" t="str">
        <x:v>ChatGPT prefill · 06 Oct 2026</x:v>
      </x:c>
    </x:row>
    <x:row r="431" ht="36" customHeight="1">
      <x:c r="A431" s="107" t="str">
        <x:v>AC07</x:v>
      </x:c>
      <x:c r="B431" s="107" t="str">
        <x:v>Final sign-off</x:v>
      </x:c>
      <x:c r="C431" s="107" t="str">
        <x:v>Approval / Legal gate</x:v>
      </x:c>
      <x:c r="D431" s="108" t="str">
        <x:v>Master artwork approved</x:v>
      </x:c>
      <x:c r="E431" s="108" t="str">
        <x:v>Approve / complete before release</x:v>
      </x:c>
      <x:c r="F431" s="109" t="str">
        <x:v>Needs evidence</x:v>
      </x:c>
      <x:c r="G431" s="110"/>
      <x:c r="H431" s="108" t="str">
        <x:f>IF(F431="Approve recommendation",E431,IF(F431="Modify / custom answer",G431,IF(F431="Reject","Rejected",IF(F431="Defer","Deferred",IF(F431="Needs evidence","Pending evidence","")))))</x:f>
        <x:v>Pending evidence</x:v>
      </x:c>
      <x:c r="I431" s="107" t="str">
        <x:f>IF(F431="","Pending",IF(F431="Approve recommendation","Approved",IF(F431="Modify / custom answer",IF(G431="","Action Required","Approved with modification"),IF(F431="Reject","Rejected",IF(F431="Defer","Deferred",IF(F431="Needs evidence","Evidence Required","Pending"))))))</x:f>
        <x:v>Evidence Required</x:v>
      </x:c>
      <x:c r="J431" s="107" t="str">
        <x:v>Critical</x:v>
      </x:c>
      <x:c r="K431" s="110" t="str">
        <x:v>Brand Owner</x:v>
      </x:c>
      <x:c r="L431" s="110" t="str">
        <x:v>Final vector production masters, no-spark micro mark and all approved configurations are not yet supplied/verified.</x:v>
      </x:c>
      <x:c r="M431" s="108" t="str">
        <x:v>Yes</x:v>
      </x:c>
      <x:c r="N431" s="108" t="str"/>
      <x:c r="O431" s="108" t="str">
        <x:v>Final sign-off</x:v>
      </x:c>
      <x:c r="P431" s="108" t="str"/>
      <x:c r="Q431" s="108" t="str"/>
      <x:c r="R431" s="108" t="str">
        <x:v>21 — Governance &amp; Approval Workflow</x:v>
      </x:c>
      <x:c r="S431" s="110" t="str">
        <x:v>ChatGPT prefill · 06 Oct 2026</x:v>
      </x:c>
    </x:row>
    <x:row r="432" ht="36" customHeight="1">
      <x:c r="A432" s="107" t="str">
        <x:v>AC08</x:v>
      </x:c>
      <x:c r="B432" s="107" t="str">
        <x:v>Final sign-off</x:v>
      </x:c>
      <x:c r="C432" s="107" t="str">
        <x:v>Approval / Legal gate</x:v>
      </x:c>
      <x:c r="D432" s="108" t="str">
        <x:v>Color system approved</x:v>
      </x:c>
      <x:c r="E432" s="108" t="str">
        <x:v>Approve / complete before release</x:v>
      </x:c>
      <x:c r="F432" s="109" t="str">
        <x:v>Modify / custom answer</x:v>
      </x:c>
      <x:c r="G432" s="110" t="str">
        <x:v>Approved — the four-color system and semantic color discipline are accepted.</x:v>
      </x:c>
      <x:c r="H432" s="108" t="str">
        <x:f>IF(F432="Approve recommendation",E432,IF(F432="Modify / custom answer",G432,IF(F432="Reject","Rejected",IF(F432="Defer","Deferred",IF(F432="Needs evidence","Pending evidence","")))))</x:f>
        <x:v>Approved — the four-color system and semantic color discipline are accepted.</x:v>
      </x:c>
      <x:c r="I432" s="107" t="str">
        <x:f>IF(F432="","Pending",IF(F432="Approve recommendation","Approved",IF(F432="Modify / custom answer",IF(G432="","Action Required","Approved with modification"),IF(F432="Reject","Rejected",IF(F432="Defer","Deferred",IF(F432="Needs evidence","Evidence Required","Pending"))))))</x:f>
        <x:v>Approved with modification</x:v>
      </x:c>
      <x:c r="J432" s="107" t="str">
        <x:v>Critical</x:v>
      </x:c>
      <x:c r="K432" s="110" t="str">
        <x:v>Brand Owner</x:v>
      </x:c>
      <x:c r="L432" s="110" t="str">
        <x:v>Approved as the V3.0 consultant recommendation, grounded in the current GEM source system and best-practice review.</x:v>
      </x:c>
      <x:c r="M432" s="108" t="str">
        <x:v>Yes</x:v>
      </x:c>
      <x:c r="N432" s="108" t="str"/>
      <x:c r="O432" s="108" t="str">
        <x:v>Final sign-off</x:v>
      </x:c>
      <x:c r="P432" s="108" t="str"/>
      <x:c r="Q432" s="108" t="str"/>
      <x:c r="R432" s="108" t="str">
        <x:v>21 — Governance &amp; Approval Workflow</x:v>
      </x:c>
      <x:c r="S432" s="110" t="str">
        <x:v>ChatGPT prefill · 06 Oct 2026</x:v>
      </x:c>
    </x:row>
    <x:row r="433" ht="36" customHeight="1">
      <x:c r="A433" s="107" t="str">
        <x:v>AC09</x:v>
      </x:c>
      <x:c r="B433" s="107" t="str">
        <x:v>Final sign-off</x:v>
      </x:c>
      <x:c r="C433" s="107" t="str">
        <x:v>Approval / Legal gate</x:v>
      </x:c>
      <x:c r="D433" s="108" t="str">
        <x:v>Latin typography approved</x:v>
      </x:c>
      <x:c r="E433" s="108" t="str">
        <x:v>Approve / complete before release</x:v>
      </x:c>
      <x:c r="F433" s="109" t="str">
        <x:v>Modify / custom answer</x:v>
      </x:c>
      <x:c r="G433" s="110" t="str">
        <x:v>Approved with condition — Jost + Inter is the V3.0 Latin architecture; final release depends on font build/license and tracking QA.</x:v>
      </x:c>
      <x:c r="H433" s="108" t="str">
        <x:f>IF(F433="Approve recommendation",E433,IF(F433="Modify / custom answer",G433,IF(F433="Reject","Rejected",IF(F433="Defer","Deferred",IF(F433="Needs evidence","Pending evidence","")))))</x:f>
        <x:v>Approved with condition — Jost + Inter is the V3.0 Latin architecture; final release depends on font build/license and tracking QA.</x:v>
      </x:c>
      <x:c r="I433" s="107" t="str">
        <x:f>IF(F433="","Pending",IF(F433="Approve recommendation","Approved",IF(F433="Modify / custom answer",IF(G433="","Action Required","Approved with modification"),IF(F433="Reject","Rejected",IF(F433="Defer","Deferred",IF(F433="Needs evidence","Evidence Required","Pending"))))))</x:f>
        <x:v>Approved with modification</x:v>
      </x:c>
      <x:c r="J433" s="107" t="str">
        <x:v>Critical</x:v>
      </x:c>
      <x:c r="K433" s="110" t="str">
        <x:v>Brand Owner</x:v>
      </x:c>
      <x:c r="L433" s="110" t="str">
        <x:v>Strategic typography choice approved; VAL-05 and VAL-19 remain release gates.</x:v>
      </x:c>
      <x:c r="M433" s="108" t="str">
        <x:v>Yes</x:v>
      </x:c>
      <x:c r="N433" s="108" t="str"/>
      <x:c r="O433" s="108" t="str">
        <x:v>Final sign-off</x:v>
      </x:c>
      <x:c r="P433" s="108" t="str"/>
      <x:c r="Q433" s="108" t="str"/>
      <x:c r="R433" s="108" t="str">
        <x:v>21 — Governance &amp; Approval Workflow</x:v>
      </x:c>
      <x:c r="S433" s="110" t="str">
        <x:v>ChatGPT prefill · 06 Oct 2026</x:v>
      </x:c>
    </x:row>
    <x:row r="434" ht="36" customHeight="1">
      <x:c r="A434" s="107" t="str">
        <x:v>AC10</x:v>
      </x:c>
      <x:c r="B434" s="107" t="str">
        <x:v>Final sign-off</x:v>
      </x:c>
      <x:c r="C434" s="107" t="str">
        <x:v>Approval / Legal gate</x:v>
      </x:c>
      <x:c r="D434" s="108" t="str">
        <x:v>Arabic system approved or formally deferred</x:v>
      </x:c>
      <x:c r="E434" s="108" t="str">
        <x:v>Approve or formally defer</x:v>
      </x:c>
      <x:c r="F434" s="109" t="str">
        <x:v>Needs evidence</x:v>
      </x:c>
      <x:c r="G434" s="110"/>
      <x:c r="H434" s="108" t="str">
        <x:f>IF(F434="Approve recommendation",E434,IF(F434="Modify / custom answer",G434,IF(F434="Reject","Rejected",IF(F434="Defer","Deferred",IF(F434="Needs evidence","Pending evidence","")))))</x:f>
        <x:v>Pending evidence</x:v>
      </x:c>
      <x:c r="I434" s="107" t="str">
        <x:f>IF(F434="","Pending",IF(F434="Approve recommendation","Approved",IF(F434="Modify / custom answer",IF(G434="","Action Required","Approved with modification"),IF(F434="Reject","Rejected",IF(F434="Defer","Deferred",IF(F434="Needs evidence","Evidence Required","Pending"))))))</x:f>
        <x:v>Evidence Required</x:v>
      </x:c>
      <x:c r="J434" s="107" t="str">
        <x:v>Critical</x:v>
      </x:c>
      <x:c r="K434" s="110" t="str">
        <x:v>Brand Owner</x:v>
      </x:c>
      <x:c r="L434" s="110" t="str">
        <x:v>Arabic is strategically required, but native RTL/localization/accessibility QA has not yet been completed.</x:v>
      </x:c>
      <x:c r="M434" s="108" t="str">
        <x:v>Yes</x:v>
      </x:c>
      <x:c r="N434" s="108" t="str"/>
      <x:c r="O434" s="108" t="str">
        <x:v>Final sign-off</x:v>
      </x:c>
      <x:c r="P434" s="108" t="str"/>
      <x:c r="Q434" s="108" t="str"/>
      <x:c r="R434" s="108" t="str">
        <x:v>21 — Governance &amp; Approval Workflow</x:v>
      </x:c>
      <x:c r="S434" s="110" t="str">
        <x:v>ChatGPT prefill · 06 Oct 2026</x:v>
      </x:c>
    </x:row>
    <x:row r="435" ht="36" customHeight="1">
      <x:c r="A435" s="107" t="str">
        <x:v>AC11</x:v>
      </x:c>
      <x:c r="B435" s="107" t="str">
        <x:v>Final sign-off</x:v>
      </x:c>
      <x:c r="C435" s="107" t="str">
        <x:v>Approval / Legal gate</x:v>
      </x:c>
      <x:c r="D435" s="108" t="str">
        <x:v>Photography direction approved</x:v>
      </x:c>
      <x:c r="E435" s="108" t="str">
        <x:v>Approve / complete before release</x:v>
      </x:c>
      <x:c r="F435" s="109" t="str">
        <x:v>Modify / custom answer</x:v>
      </x:c>
      <x:c r="G435" s="110" t="str">
        <x:v>Approved — photography direction is accepted; a dedicated rights-cleared image library is still required before final release.</x:v>
      </x:c>
      <x:c r="H435" s="108" t="str">
        <x:f>IF(F435="Approve recommendation",E435,IF(F435="Modify / custom answer",G435,IF(F435="Reject","Rejected",IF(F435="Defer","Deferred",IF(F435="Needs evidence","Pending evidence","")))))</x:f>
        <x:v>Approved — photography direction is accepted; a dedicated rights-cleared image library is still required before final release.</x:v>
      </x:c>
      <x:c r="I435" s="107" t="str">
        <x:f>IF(F435="","Pending",IF(F435="Approve recommendation","Approved",IF(F435="Modify / custom answer",IF(G435="","Action Required","Approved with modification"),IF(F435="Reject","Rejected",IF(F435="Defer","Deferred",IF(F435="Needs evidence","Evidence Required","Pending"))))))</x:f>
        <x:v>Approved with modification</x:v>
      </x:c>
      <x:c r="J435" s="107" t="str">
        <x:v>Critical</x:v>
      </x:c>
      <x:c r="K435" s="110" t="str">
        <x:v>Brand Owner</x:v>
      </x:c>
      <x:c r="L435" s="110" t="str">
        <x:v>Approved as the V3.0 consultant recommendation, grounded in the current GEM source system and best-practice review.</x:v>
      </x:c>
      <x:c r="M435" s="108" t="str">
        <x:v>Yes</x:v>
      </x:c>
      <x:c r="N435" s="108" t="str"/>
      <x:c r="O435" s="108" t="str">
        <x:v>Final sign-off</x:v>
      </x:c>
      <x:c r="P435" s="108" t="str"/>
      <x:c r="Q435" s="108" t="str"/>
      <x:c r="R435" s="108" t="str">
        <x:v>21 — Governance &amp; Approval Workflow</x:v>
      </x:c>
      <x:c r="S435" s="110" t="str">
        <x:v>ChatGPT prefill · 06 Oct 2026</x:v>
      </x:c>
    </x:row>
    <x:row r="436" ht="36" customHeight="1">
      <x:c r="A436" s="107" t="str">
        <x:v>AC12</x:v>
      </x:c>
      <x:c r="B436" s="107" t="str">
        <x:v>Final sign-off</x:v>
      </x:c>
      <x:c r="C436" s="107" t="str">
        <x:v>Approval / Legal gate</x:v>
      </x:c>
      <x:c r="D436" s="108" t="str">
        <x:v>Graphic language approved</x:v>
      </x:c>
      <x:c r="E436" s="108" t="str">
        <x:v>Approve / complete before release</x:v>
      </x:c>
      <x:c r="F436" s="109" t="str">
        <x:v>Modify / custom answer</x:v>
      </x:c>
      <x:c r="G436" s="110" t="str">
        <x:v>Approved — ring / arc / quarter / spark graphic language is accepted.</x:v>
      </x:c>
      <x:c r="H436" s="108" t="str">
        <x:f>IF(F436="Approve recommendation",E436,IF(F436="Modify / custom answer",G436,IF(F436="Reject","Rejected",IF(F436="Defer","Deferred",IF(F436="Needs evidence","Pending evidence","")))))</x:f>
        <x:v>Approved — ring / arc / quarter / spark graphic language is accepted.</x:v>
      </x:c>
      <x:c r="I436" s="107" t="str">
        <x:f>IF(F436="","Pending",IF(F436="Approve recommendation","Approved",IF(F436="Modify / custom answer",IF(G436="","Action Required","Approved with modification"),IF(F436="Reject","Rejected",IF(F436="Defer","Deferred",IF(F436="Needs evidence","Evidence Required","Pending"))))))</x:f>
        <x:v>Approved with modification</x:v>
      </x:c>
      <x:c r="J436" s="107" t="str">
        <x:v>Critical</x:v>
      </x:c>
      <x:c r="K436" s="110" t="str">
        <x:v>Brand Owner</x:v>
      </x:c>
      <x:c r="L436" s="110" t="str">
        <x:v>Approved as the V3.0 consultant recommendation, grounded in the current GEM source system and best-practice review.</x:v>
      </x:c>
      <x:c r="M436" s="108" t="str">
        <x:v>Yes</x:v>
      </x:c>
      <x:c r="N436" s="108" t="str"/>
      <x:c r="O436" s="108" t="str">
        <x:v>Final sign-off</x:v>
      </x:c>
      <x:c r="P436" s="108" t="str"/>
      <x:c r="Q436" s="108" t="str"/>
      <x:c r="R436" s="108" t="str">
        <x:v>21 — Governance &amp; Approval Workflow</x:v>
      </x:c>
      <x:c r="S436" s="110" t="str">
        <x:v>ChatGPT prefill · 06 Oct 2026</x:v>
      </x:c>
    </x:row>
    <x:row r="437" ht="36" customHeight="1">
      <x:c r="A437" s="107" t="str">
        <x:v>AC13</x:v>
      </x:c>
      <x:c r="B437" s="107" t="str">
        <x:v>Final sign-off</x:v>
      </x:c>
      <x:c r="C437" s="107" t="str">
        <x:v>Approval / Legal gate</x:v>
      </x:c>
      <x:c r="D437" s="108" t="str">
        <x:v>Digital system approved</x:v>
      </x:c>
      <x:c r="E437" s="108" t="str">
        <x:v>Approve / complete before release</x:v>
      </x:c>
      <x:c r="F437" s="109" t="str">
        <x:v>Modify / custom answer</x:v>
      </x:c>
      <x:c r="G437" s="110" t="str">
        <x:v>Approved in principle — tokens, component behavior and digital rules are accepted; implementation release remains conditional on VAL-13 and VAL-20.</x:v>
      </x:c>
      <x:c r="H437" s="108" t="str">
        <x:f>IF(F437="Approve recommendation",E437,IF(F437="Modify / custom answer",G437,IF(F437="Reject","Rejected",IF(F437="Defer","Deferred",IF(F437="Needs evidence","Pending evidence","")))))</x:f>
        <x:v>Approved in principle — tokens, component behavior and digital rules are accepted; implementation release remains conditional on VAL-13 and VAL-20.</x:v>
      </x:c>
      <x:c r="I437" s="107" t="str">
        <x:f>IF(F437="","Pending",IF(F437="Approve recommendation","Approved",IF(F437="Modify / custom answer",IF(G437="","Action Required","Approved with modification"),IF(F437="Reject","Rejected",IF(F437="Defer","Deferred",IF(F437="Needs evidence","Evidence Required","Pending"))))))</x:f>
        <x:v>Approved with modification</x:v>
      </x:c>
      <x:c r="J437" s="107" t="str">
        <x:v>Critical</x:v>
      </x:c>
      <x:c r="K437" s="110" t="str">
        <x:v>Brand Owner</x:v>
      </x:c>
      <x:c r="L437" s="110" t="str">
        <x:v>Digital system design direction accepted; do not equate the PDF specification with tested implementation.</x:v>
      </x:c>
      <x:c r="M437" s="108" t="str">
        <x:v>Yes</x:v>
      </x:c>
      <x:c r="N437" s="108" t="str"/>
      <x:c r="O437" s="108" t="str">
        <x:v>Final sign-off</x:v>
      </x:c>
      <x:c r="P437" s="108" t="str"/>
      <x:c r="Q437" s="108" t="str"/>
      <x:c r="R437" s="108" t="str">
        <x:v>21 — Governance &amp; Approval Workflow</x:v>
      </x:c>
      <x:c r="S437" s="110" t="str">
        <x:v>ChatGPT prefill · 06 Oct 2026</x:v>
      </x:c>
    </x:row>
    <x:row r="438" ht="36" customHeight="1">
      <x:c r="A438" s="107" t="str">
        <x:v>AC14</x:v>
      </x:c>
      <x:c r="B438" s="107" t="str">
        <x:v>Final sign-off</x:v>
      </x:c>
      <x:c r="C438" s="107" t="str">
        <x:v>Approval / Legal gate</x:v>
      </x:c>
      <x:c r="D438" s="108" t="str">
        <x:v>Wayfinding system approved or formally deferred</x:v>
      </x:c>
      <x:c r="E438" s="108" t="str">
        <x:v>Approve or formally defer</x:v>
      </x:c>
      <x:c r="F438" s="109" t="str">
        <x:v>Modify / custom answer</x:v>
      </x:c>
      <x:c r="G438" s="110" t="str">
        <x:v>Approved as an environmental-identity framework; production-ready site-specific wayfinding is deferred until a live project brief.</x:v>
      </x:c>
      <x:c r="H438" s="108" t="str">
        <x:f>IF(F438="Approve recommendation",E438,IF(F438="Modify / custom answer",G438,IF(F438="Reject","Rejected",IF(F438="Defer","Deferred",IF(F438="Needs evidence","Pending evidence","")))))</x:f>
        <x:v>Approved as an environmental-identity framework; production-ready site-specific wayfinding is deferred until a live project brief.</x:v>
      </x:c>
      <x:c r="I438" s="107" t="str">
        <x:f>IF(F438="","Pending",IF(F438="Approve recommendation","Approved",IF(F438="Modify / custom answer",IF(G438="","Action Required","Approved with modification"),IF(F438="Reject","Rejected",IF(F438="Defer","Deferred",IF(F438="Needs evidence","Evidence Required","Pending"))))))</x:f>
        <x:v>Approved with modification</x:v>
      </x:c>
      <x:c r="J438" s="107" t="str">
        <x:v>Critical</x:v>
      </x:c>
      <x:c r="K438" s="110" t="str">
        <x:v>Brand Owner</x:v>
      </x:c>
      <x:c r="L438" s="110" t="str">
        <x:v>Approved as the V3.0 consultant recommendation, grounded in the current GEM source system and best-practice review.</x:v>
      </x:c>
      <x:c r="M438" s="108" t="str">
        <x:v>Yes</x:v>
      </x:c>
      <x:c r="N438" s="108" t="str"/>
      <x:c r="O438" s="108" t="str">
        <x:v>Final sign-off</x:v>
      </x:c>
      <x:c r="P438" s="108" t="str"/>
      <x:c r="Q438" s="108" t="str"/>
      <x:c r="R438" s="108" t="str">
        <x:v>21 — Governance &amp; Approval Workflow</x:v>
      </x:c>
      <x:c r="S438" s="110" t="str">
        <x:v>ChatGPT prefill · 06 Oct 2026</x:v>
      </x:c>
    </x:row>
    <x:row r="439" ht="36" customHeight="1">
      <x:c r="A439" s="107" t="str">
        <x:v>AC15</x:v>
      </x:c>
      <x:c r="B439" s="107" t="str">
        <x:v>Final sign-off</x:v>
      </x:c>
      <x:c r="C439" s="107" t="str">
        <x:v>Approval / Legal gate</x:v>
      </x:c>
      <x:c r="D439" s="108" t="str">
        <x:v>Packaging system approved or formally deferred</x:v>
      </x:c>
      <x:c r="E439" s="108" t="str">
        <x:v>Approve or formally defer</x:v>
      </x:c>
      <x:c r="F439" s="109" t="str">
        <x:v>Modify / custom answer</x:v>
      </x:c>
      <x:c r="G439" s="110" t="str">
        <x:v>Approved in principle — packaging architecture is accepted; production readiness remains conditional on the pilot, regulatory and supplier evidence gates.</x:v>
      </x:c>
      <x:c r="H439" s="108" t="str">
        <x:f>IF(F439="Approve recommendation",E439,IF(F439="Modify / custom answer",G439,IF(F439="Reject","Rejected",IF(F439="Defer","Deferred",IF(F439="Needs evidence","Pending evidence","")))))</x:f>
        <x:v>Approved in principle — packaging architecture is accepted; production readiness remains conditional on the pilot, regulatory and supplier evidence gates.</x:v>
      </x:c>
      <x:c r="I439" s="107" t="str">
        <x:f>IF(F439="","Pending",IF(F439="Approve recommendation","Approved",IF(F439="Modify / custom answer",IF(G439="","Action Required","Approved with modification"),IF(F439="Reject","Rejected",IF(F439="Defer","Deferred",IF(F439="Needs evidence","Evidence Required","Pending"))))))</x:f>
        <x:v>Approved with modification</x:v>
      </x:c>
      <x:c r="J439" s="107" t="str">
        <x:v>Critical</x:v>
      </x:c>
      <x:c r="K439" s="110" t="str">
        <x:v>Brand Owner</x:v>
      </x:c>
      <x:c r="L439" s="110" t="str">
        <x:v>Packaging architecture approved as direction; physical proof and supplier acceptance remain release gates.</x:v>
      </x:c>
      <x:c r="M439" s="108" t="str">
        <x:v>Yes</x:v>
      </x:c>
      <x:c r="N439" s="108" t="str"/>
      <x:c r="O439" s="108" t="str">
        <x:v>Final sign-off</x:v>
      </x:c>
      <x:c r="P439" s="108" t="str"/>
      <x:c r="Q439" s="108" t="str"/>
      <x:c r="R439" s="108" t="str">
        <x:v>21 — Governance &amp; Approval Workflow</x:v>
      </x:c>
      <x:c r="S439" s="110" t="str">
        <x:v>ChatGPT prefill · 06 Oct 2026</x:v>
      </x:c>
    </x:row>
    <x:row r="440" ht="36" customHeight="1">
      <x:c r="A440" s="107" t="str">
        <x:v>AC16</x:v>
      </x:c>
      <x:c r="B440" s="107" t="str">
        <x:v>Final sign-off</x:v>
      </x:c>
      <x:c r="C440" s="107" t="str">
        <x:v>Approval / Legal gate</x:v>
      </x:c>
      <x:c r="D440" s="108" t="str">
        <x:v>Accessibility requirements approved</x:v>
      </x:c>
      <x:c r="E440" s="108" t="str">
        <x:v>Approve / complete before release</x:v>
      </x:c>
      <x:c r="F440" s="109" t="str">
        <x:v>Modify / custom answer</x:v>
      </x:c>
      <x:c r="G440" s="110" t="str">
        <x:v>Approved — WCAG 2.2 AA target and inclusive-design requirements are accepted; implementation QA remains mandatory.</x:v>
      </x:c>
      <x:c r="H440" s="108" t="str">
        <x:f>IF(F440="Approve recommendation",E440,IF(F440="Modify / custom answer",G440,IF(F440="Reject","Rejected",IF(F440="Defer","Deferred",IF(F440="Needs evidence","Pending evidence","")))))</x:f>
        <x:v>Approved — WCAG 2.2 AA target and inclusive-design requirements are accepted; implementation QA remains mandatory.</x:v>
      </x:c>
      <x:c r="I440" s="107" t="str">
        <x:f>IF(F440="","Pending",IF(F440="Approve recommendation","Approved",IF(F440="Modify / custom answer",IF(G440="","Action Required","Approved with modification"),IF(F440="Reject","Rejected",IF(F440="Defer","Deferred",IF(F440="Needs evidence","Evidence Required","Pending"))))))</x:f>
        <x:v>Approved with modification</x:v>
      </x:c>
      <x:c r="J440" s="107" t="str">
        <x:v>Critical</x:v>
      </x:c>
      <x:c r="K440" s="110" t="str">
        <x:v>Brand Owner</x:v>
      </x:c>
      <x:c r="L440" s="110" t="str">
        <x:v>Approved as the V3.0 consultant recommendation, grounded in the current GEM source system and best-practice review.</x:v>
      </x:c>
      <x:c r="M440" s="108" t="str">
        <x:v>Yes</x:v>
      </x:c>
      <x:c r="N440" s="108" t="str"/>
      <x:c r="O440" s="108" t="str">
        <x:v>Final sign-off</x:v>
      </x:c>
      <x:c r="P440" s="108" t="str"/>
      <x:c r="Q440" s="108" t="str"/>
      <x:c r="R440" s="108" t="str">
        <x:v>21 — Governance &amp; Approval Workflow</x:v>
      </x:c>
      <x:c r="S440" s="110" t="str">
        <x:v>ChatGPT prefill · 06 Oct 2026</x:v>
      </x:c>
    </x:row>
    <x:row r="441" ht="36" customHeight="1">
      <x:c r="A441" s="107" t="str">
        <x:v>AC17</x:v>
      </x:c>
      <x:c r="B441" s="107" t="str">
        <x:v>Final sign-off</x:v>
      </x:c>
      <x:c r="C441" s="107" t="str">
        <x:v>Approval / Legal gate</x:v>
      </x:c>
      <x:c r="D441" s="108" t="str">
        <x:v>Production specifications approved</x:v>
      </x:c>
      <x:c r="E441" s="108" t="str">
        <x:v>Approve / complete before release</x:v>
      </x:c>
      <x:c r="F441" s="109" t="str">
        <x:v>Needs evidence</x:v>
      </x:c>
      <x:c r="G441" s="110"/>
      <x:c r="H441" s="108" t="str">
        <x:f>IF(F441="Approve recommendation",E441,IF(F441="Modify / custom answer",G441,IF(F441="Reject","Rejected",IF(F441="Defer","Deferred",IF(F441="Needs evidence","Pending evidence","")))))</x:f>
        <x:v>Pending evidence</x:v>
      </x:c>
      <x:c r="I441" s="107" t="str">
        <x:f>IF(F441="","Pending",IF(F441="Approve recommendation","Approved",IF(F441="Modify / custom answer",IF(G441="","Action Required","Approved with modification"),IF(F441="Reject","Rejected",IF(F441="Defer","Deferred",IF(F441="Needs evidence","Evidence Required","Pending"))))))</x:f>
        <x:v>Evidence Required</x:v>
      </x:c>
      <x:c r="J441" s="107" t="str">
        <x:v>Critical</x:v>
      </x:c>
      <x:c r="K441" s="110" t="str">
        <x:v>Brand Owner</x:v>
      </x:c>
      <x:c r="L441" s="110" t="str">
        <x:v>Supplier-ready production specifications and physical/fabrication validation are not yet complete across all physical applications.</x:v>
      </x:c>
      <x:c r="M441" s="108" t="str">
        <x:v>Yes</x:v>
      </x:c>
      <x:c r="N441" s="108" t="str"/>
      <x:c r="O441" s="108" t="str">
        <x:v>Final sign-off</x:v>
      </x:c>
      <x:c r="P441" s="108" t="str"/>
      <x:c r="Q441" s="108" t="str"/>
      <x:c r="R441" s="108" t="str">
        <x:v>21 — Governance &amp; Approval Workflow</x:v>
      </x:c>
      <x:c r="S441" s="110" t="str">
        <x:v>ChatGPT prefill · 06 Oct 2026</x:v>
      </x:c>
    </x:row>
    <x:row r="442" ht="36" customHeight="1">
      <x:c r="A442" s="107" t="str">
        <x:v>AC18</x:v>
      </x:c>
      <x:c r="B442" s="107" t="str">
        <x:v>Final sign-off</x:v>
      </x:c>
      <x:c r="C442" s="107" t="str">
        <x:v>Approval / Legal gate</x:v>
      </x:c>
      <x:c r="D442" s="108" t="str">
        <x:v>Asset library approved</x:v>
      </x:c>
      <x:c r="E442" s="108" t="str">
        <x:v>Approve / complete before release</x:v>
      </x:c>
      <x:c r="F442" s="109" t="str">
        <x:v>Modify / custom answer</x:v>
      </x:c>
      <x:c r="G442" s="110" t="str">
        <x:v>Approved — controlled asset-library structure, versioning and archive rules are accepted.</x:v>
      </x:c>
      <x:c r="H442" s="108" t="str">
        <x:f>IF(F442="Approve recommendation",E442,IF(F442="Modify / custom answer",G442,IF(F442="Reject","Rejected",IF(F442="Defer","Deferred",IF(F442="Needs evidence","Pending evidence","")))))</x:f>
        <x:v>Approved — controlled asset-library structure, versioning and archive rules are accepted.</x:v>
      </x:c>
      <x:c r="I442" s="107" t="str">
        <x:f>IF(F442="","Pending",IF(F442="Approve recommendation","Approved",IF(F442="Modify / custom answer",IF(G442="","Action Required","Approved with modification"),IF(F442="Reject","Rejected",IF(F442="Defer","Deferred",IF(F442="Needs evidence","Evidence Required","Pending"))))))</x:f>
        <x:v>Approved with modification</x:v>
      </x:c>
      <x:c r="J442" s="107" t="str">
        <x:v>Critical</x:v>
      </x:c>
      <x:c r="K442" s="110" t="str">
        <x:v>Brand Owner</x:v>
      </x:c>
      <x:c r="L442" s="110" t="str">
        <x:v>Approved as the V3.0 consultant recommendation, grounded in the current GEM source system and best-practice review.</x:v>
      </x:c>
      <x:c r="M442" s="108" t="str">
        <x:v>Yes</x:v>
      </x:c>
      <x:c r="N442" s="108" t="str"/>
      <x:c r="O442" s="108" t="str">
        <x:v>Final sign-off</x:v>
      </x:c>
      <x:c r="P442" s="108" t="str"/>
      <x:c r="Q442" s="108" t="str"/>
      <x:c r="R442" s="108" t="str">
        <x:v>21 — Governance &amp; Approval Workflow</x:v>
      </x:c>
      <x:c r="S442" s="110" t="str">
        <x:v>ChatGPT prefill · 06 Oct 2026</x:v>
      </x:c>
    </x:row>
    <x:row r="443" ht="36" customHeight="1">
      <x:c r="A443" s="107" t="str">
        <x:v>AC19</x:v>
      </x:c>
      <x:c r="B443" s="107" t="str">
        <x:v>Final sign-off</x:v>
      </x:c>
      <x:c r="C443" s="107" t="str">
        <x:v>Approval / Legal gate</x:v>
      </x:c>
      <x:c r="D443" s="108" t="str">
        <x:v>Governance model approved</x:v>
      </x:c>
      <x:c r="E443" s="108" t="str">
        <x:v>Approve / complete before release</x:v>
      </x:c>
      <x:c r="F443" s="109" t="str">
        <x:v>Modify / custom answer</x:v>
      </x:c>
      <x:c r="G443" s="110" t="str">
        <x:v>Approved — governance model is accepted; actual named role holders must be assigned before release.</x:v>
      </x:c>
      <x:c r="H443" s="108" t="str">
        <x:f>IF(F443="Approve recommendation",E443,IF(F443="Modify / custom answer",G443,IF(F443="Reject","Rejected",IF(F443="Defer","Deferred",IF(F443="Needs evidence","Pending evidence","")))))</x:f>
        <x:v>Approved — governance model is accepted; actual named role holders must be assigned before release.</x:v>
      </x:c>
      <x:c r="I443" s="107" t="str">
        <x:f>IF(F443="","Pending",IF(F443="Approve recommendation","Approved",IF(F443="Modify / custom answer",IF(G443="","Action Required","Approved with modification"),IF(F443="Reject","Rejected",IF(F443="Defer","Deferred",IF(F443="Needs evidence","Evidence Required","Pending"))))))</x:f>
        <x:v>Approved with modification</x:v>
      </x:c>
      <x:c r="J443" s="107" t="str">
        <x:v>Critical</x:v>
      </x:c>
      <x:c r="K443" s="110" t="str">
        <x:v>Brand Owner</x:v>
      </x:c>
      <x:c r="L443" s="110" t="str">
        <x:v>Approved as the V3.0 consultant recommendation, grounded in the current GEM source system and best-practice review.</x:v>
      </x:c>
      <x:c r="M443" s="108" t="str">
        <x:v>Yes</x:v>
      </x:c>
      <x:c r="N443" s="108" t="str"/>
      <x:c r="O443" s="108" t="str">
        <x:v>Final sign-off</x:v>
      </x:c>
      <x:c r="P443" s="108" t="str"/>
      <x:c r="Q443" s="108" t="str"/>
      <x:c r="R443" s="108" t="str">
        <x:v>21 — Governance &amp; Approval Workflow</x:v>
      </x:c>
      <x:c r="S443" s="110" t="str">
        <x:v>ChatGPT prefill · 06 Oct 2026</x:v>
      </x:c>
    </x:row>
    <x:row r="444" ht="36" customHeight="1">
      <x:c r="A444" s="107" t="str">
        <x:v>AC20</x:v>
      </x:c>
      <x:c r="B444" s="107" t="str">
        <x:v>Final sign-off</x:v>
      </x:c>
      <x:c r="C444" s="107" t="str">
        <x:v>Approval / Legal gate</x:v>
      </x:c>
      <x:c r="D444" s="108" t="str">
        <x:v>Brand Owner authorizes GEM™ Brand Guidelines V3.0 for release</x:v>
      </x:c>
      <x:c r="E444" s="108" t="str">
        <x:v>Final release authorization</x:v>
      </x:c>
      <x:c r="F444" s="109" t="str">
        <x:v>Needs evidence</x:v>
      </x:c>
      <x:c r="G444" s="110"/>
      <x:c r="H444" s="108" t="str">
        <x:f>IF(F444="Approve recommendation",E444,IF(F444="Modify / custom answer",G444,IF(F444="Reject","Rejected",IF(F444="Defer","Deferred",IF(F444="Needs evidence","Pending evidence","")))))</x:f>
        <x:v>Pending evidence</x:v>
      </x:c>
      <x:c r="I444" s="107" t="str">
        <x:f>IF(F444="","Pending",IF(F444="Approve recommendation","Approved",IF(F444="Modify / custom answer",IF(G444="","Action Required","Approved with modification"),IF(F444="Reject","Rejected",IF(F444="Defer","Deferred",IF(F444="Needs evidence","Evidence Required","Pending"))))))</x:f>
        <x:v>Evidence Required</x:v>
      </x:c>
      <x:c r="J444" s="107" t="str">
        <x:v>Critical</x:v>
      </x:c>
      <x:c r="K444" s="110" t="str">
        <x:v>Brand Owner</x:v>
      </x:c>
      <x:c r="L444" s="110" t="str">
        <x:v>Final release authorization must follow completion of critical evidence gates and be issued by the named Brand Owner.</x:v>
      </x:c>
      <x:c r="M444" s="108" t="str">
        <x:v>Yes</x:v>
      </x:c>
      <x:c r="N444" s="108" t="str"/>
      <x:c r="O444" s="108" t="str">
        <x:v>Final sign-off</x:v>
      </x:c>
      <x:c r="P444" s="108" t="str"/>
      <x:c r="Q444" s="108" t="str"/>
      <x:c r="R444" s="108" t="str">
        <x:v>21 — Governance &amp; Approval Workflow</x:v>
      </x:c>
      <x:c r="S444" s="110" t="str">
        <x:v>ChatGPT prefill · 06 Oct 2026</x:v>
      </x:c>
    </x:row>
    <x:row r="445" ht="36" customHeight="1">
      <x:c r="A445" s="107" t="str">
        <x:v>RF01</x:v>
      </x:c>
      <x:c r="B445" s="107" t="str">
        <x:v>Reference &amp; benchmark governance</x:v>
      </x:c>
      <x:c r="C445" s="107" t="str">
        <x:v>Brand decision</x:v>
      </x:c>
      <x:c r="D445" s="108" t="str">
        <x:v>Should external inspiration libraries be treated as references/benchmarks rather than authoritative GEM standards?</x:v>
      </x:c>
      <x:c r="E445" s="108" t="str">
        <x:v>Yes — they inform quality and best practice, but GEM-approved decisions remain authoritative.</x:v>
      </x:c>
      <x:c r="F445" s="109" t="str">
        <x:v>Approve recommendation</x:v>
      </x:c>
      <x:c r="G445" s="110"/>
      <x:c r="H445" s="108" t="str">
        <x:f>IF(F445="Approve recommendation",E445,IF(F445="Modify / custom answer",G445,IF(F445="Reject","Rejected",IF(F445="Defer","Deferred",IF(F445="Needs evidence","Pending evidence","")))))</x:f>
        <x:v>Yes — they inform quality and best practice, but GEM-approved decisions remain authoritative.</x:v>
      </x:c>
      <x:c r="I445" s="107" t="str">
        <x:f>IF(F445="","Pending",IF(F445="Approve recommendation","Approved",IF(F445="Modify / custom answer",IF(G445="","Action Required","Approved with modification"),IF(F445="Reject","Rejected",IF(F445="Defer","Deferred",IF(F445="Needs evidence","Evidence Required","Pending"))))))</x:f>
        <x:v>Approved</x:v>
      </x:c>
      <x:c r="J445" s="107" t="str">
        <x:v>High</x:v>
      </x:c>
      <x:c r="K445" s="110" t="str">
        <x:v>Design Custodian + Asset Librarian / Governance PM</x:v>
      </x:c>
      <x:c r="L445" s="110"/>
      <x:c r="M445" s="108" t="str">
        <x:v>No</x:v>
      </x:c>
      <x:c r="N445" s="108" t="str"/>
      <x:c r="O445" s="108" t="str">
        <x:v>External benchmark synthesis (non-normative)</x:v>
      </x:c>
      <x:c r="P445" s="108" t="str">
        <x:v>BEN-01, BEN-02, BEN-03, BEN-04, BEN-05</x:v>
      </x:c>
      <x:c r="Q445" s="108" t="str">
        <x:v>https://visualjournal.it | https://rebrand.gallery | https://brandguidelines.net | https://logosystem.co | https://deck.gallery</x:v>
      </x:c>
      <x:c r="R445" s="108" t="str">
        <x:v>01 — Introduction &amp; Governance</x:v>
      </x:c>
      <x:c r="S445" s="110" t="str">
        <x:v>ChatGPT prefill · 06 Oct 2026</x:v>
      </x:c>
    </x:row>
    <x:row r="446" ht="36" customHeight="1">
      <x:c r="A446" s="107" t="str">
        <x:v>RF02</x:v>
      </x:c>
      <x:c r="B446" s="107" t="str">
        <x:v>Reference &amp; benchmark governance</x:v>
      </x:c>
      <x:c r="C446" s="107" t="str">
        <x:v>Brand decision</x:v>
      </x:c>
      <x:c r="D446" s="108" t="str">
        <x:v>Should V3.0 distinguish formal technical standards from curated inspiration/benchmark libraries?</x:v>
      </x:c>
      <x:c r="E446" s="108" t="str">
        <x:v>Yes — maintain an explicit source hierarchy.</x:v>
      </x:c>
      <x:c r="F446" s="109" t="str">
        <x:v>Approve recommendation</x:v>
      </x:c>
      <x:c r="G446" s="110"/>
      <x:c r="H446" s="108" t="str">
        <x:f>IF(F446="Approve recommendation",E446,IF(F446="Modify / custom answer",G446,IF(F446="Reject","Rejected",IF(F446="Defer","Deferred",IF(F446="Needs evidence","Pending evidence","")))))</x:f>
        <x:v>Yes — maintain an explicit source hierarchy.</x:v>
      </x:c>
      <x:c r="I446" s="107" t="str">
        <x:f>IF(F446="","Pending",IF(F446="Approve recommendation","Approved",IF(F446="Modify / custom answer",IF(G446="","Action Required","Approved with modification"),IF(F446="Reject","Rejected",IF(F446="Defer","Deferred",IF(F446="Needs evidence","Evidence Required","Pending"))))))</x:f>
        <x:v>Approved</x:v>
      </x:c>
      <x:c r="J446" s="107" t="str">
        <x:v>High</x:v>
      </x:c>
      <x:c r="K446" s="110" t="str">
        <x:v>Design Custodian + Asset Librarian / Governance PM</x:v>
      </x:c>
      <x:c r="L446" s="110"/>
      <x:c r="M446" s="108" t="str">
        <x:v>No</x:v>
      </x:c>
      <x:c r="N446" s="108" t="str"/>
      <x:c r="O446" s="108" t="str">
        <x:v>External benchmark synthesis (non-normative)</x:v>
      </x:c>
      <x:c r="P446" s="108" t="str">
        <x:v>BEN-01, BEN-02, BEN-03, BEN-04, BEN-05</x:v>
      </x:c>
      <x:c r="Q446" s="108" t="str">
        <x:v>https://visualjournal.it | https://rebrand.gallery | https://brandguidelines.net | https://logosystem.co | https://deck.gallery</x:v>
      </x:c>
      <x:c r="R446" s="108" t="str">
        <x:v>01 — Introduction &amp; Governance</x:v>
      </x:c>
      <x:c r="S446" s="110" t="str">
        <x:v>ChatGPT prefill · 06 Oct 2026</x:v>
      </x:c>
    </x:row>
    <x:row r="447" ht="36" customHeight="1">
      <x:c r="A447" s="107" t="str">
        <x:v>RF03</x:v>
      </x:c>
      <x:c r="B447" s="107" t="str">
        <x:v>Reference &amp; benchmark governance</x:v>
      </x:c>
      <x:c r="C447" s="107" t="str">
        <x:v>Brand decision</x:v>
      </x:c>
      <x:c r="D447" s="108" t="str">
        <x:v>Should reference assets/logos/case-study imagery ever be copied into GEM production work without rights/permission?</x:v>
      </x:c>
      <x:c r="E447" s="108" t="str">
        <x:v>No — references are for study and inspiration only.</x:v>
      </x:c>
      <x:c r="F447" s="109" t="str">
        <x:v>Approve recommendation</x:v>
      </x:c>
      <x:c r="G447" s="110"/>
      <x:c r="H447" s="108" t="str">
        <x:f>IF(F447="Approve recommendation",E447,IF(F447="Modify / custom answer",G447,IF(F447="Reject","Rejected",IF(F447="Defer","Deferred",IF(F447="Needs evidence","Pending evidence","")))))</x:f>
        <x:v>No — references are for study and inspiration only.</x:v>
      </x:c>
      <x:c r="I447" s="107" t="str">
        <x:f>IF(F447="","Pending",IF(F447="Approve recommendation","Approved",IF(F447="Modify / custom answer",IF(G447="","Action Required","Approved with modification"),IF(F447="Reject","Rejected",IF(F447="Defer","Deferred",IF(F447="Needs evidence","Evidence Required","Pending"))))))</x:f>
        <x:v>Approved</x:v>
      </x:c>
      <x:c r="J447" s="107" t="str">
        <x:v>High</x:v>
      </x:c>
      <x:c r="K447" s="110" t="str">
        <x:v>Design Custodian + Asset Librarian / Governance PM</x:v>
      </x:c>
      <x:c r="L447" s="110"/>
      <x:c r="M447" s="108" t="str">
        <x:v>No</x:v>
      </x:c>
      <x:c r="N447" s="108" t="str"/>
      <x:c r="O447" s="108" t="str">
        <x:v>External benchmark synthesis (non-normative)</x:v>
      </x:c>
      <x:c r="P447" s="108" t="str">
        <x:v>BEN-01, BEN-02, BEN-03, BEN-04, BEN-05</x:v>
      </x:c>
      <x:c r="Q447" s="108" t="str">
        <x:v>https://visualjournal.it | https://rebrand.gallery | https://brandguidelines.net | https://logosystem.co | https://deck.gallery</x:v>
      </x:c>
      <x:c r="R447" s="108" t="str">
        <x:v>01 — Introduction &amp; Governance</x:v>
      </x:c>
      <x:c r="S447" s="110" t="str">
        <x:v>ChatGPT prefill · 06 Oct 2026</x:v>
      </x:c>
    </x:row>
    <x:row r="448" ht="36" customHeight="1">
      <x:c r="A448" s="107" t="str">
        <x:v>RF04</x:v>
      </x:c>
      <x:c r="B448" s="107" t="str">
        <x:v>Reference &amp; benchmark governance</x:v>
      </x:c>
      <x:c r="C448" s="107" t="str">
        <x:v>Brand decision</x:v>
      </x:c>
      <x:c r="D448" s="108" t="str">
        <x:v>Should the final guideline include a reference-provenance note for externally inspired examples?</x:v>
      </x:c>
      <x:c r="E448" s="108" t="str">
        <x:v>Yes — identify source/creator when examples are shown or discussed.</x:v>
      </x:c>
      <x:c r="F448" s="109" t="str">
        <x:v>Approve recommendation</x:v>
      </x:c>
      <x:c r="G448" s="110"/>
      <x:c r="H448" s="108" t="str">
        <x:f>IF(F448="Approve recommendation",E448,IF(F448="Modify / custom answer",G448,IF(F448="Reject","Rejected",IF(F448="Defer","Deferred",IF(F448="Needs evidence","Pending evidence","")))))</x:f>
        <x:v>Yes — identify source/creator when examples are shown or discussed.</x:v>
      </x:c>
      <x:c r="I448" s="107" t="str">
        <x:f>IF(F448="","Pending",IF(F448="Approve recommendation","Approved",IF(F448="Modify / custom answer",IF(G448="","Action Required","Approved with modification"),IF(F448="Reject","Rejected",IF(F448="Defer","Deferred",IF(F448="Needs evidence","Evidence Required","Pending"))))))</x:f>
        <x:v>Approved</x:v>
      </x:c>
      <x:c r="J448" s="107" t="str">
        <x:v>High</x:v>
      </x:c>
      <x:c r="K448" s="110" t="str">
        <x:v>Design Custodian + Asset Librarian / Governance PM</x:v>
      </x:c>
      <x:c r="L448" s="110"/>
      <x:c r="M448" s="108" t="str">
        <x:v>No</x:v>
      </x:c>
      <x:c r="N448" s="108" t="str"/>
      <x:c r="O448" s="108" t="str">
        <x:v>External benchmark synthesis (non-normative)</x:v>
      </x:c>
      <x:c r="P448" s="108" t="str">
        <x:v>BEN-01, BEN-02, BEN-03, BEN-04, BEN-05</x:v>
      </x:c>
      <x:c r="Q448" s="108" t="str">
        <x:v>https://visualjournal.it | https://rebrand.gallery | https://brandguidelines.net | https://logosystem.co | https://deck.gallery</x:v>
      </x:c>
      <x:c r="R448" s="108" t="str">
        <x:v>01 — Introduction &amp; Governance</x:v>
      </x:c>
      <x:c r="S448" s="110" t="str">
        <x:v>ChatGPT prefill · 06 Oct 2026</x:v>
      </x:c>
    </x:row>
    <x:row r="449" ht="36" customHeight="1">
      <x:c r="A449" s="107" t="str">
        <x:v>RF05</x:v>
      </x:c>
      <x:c r="B449" s="107" t="str">
        <x:v>Guideline usability</x:v>
      </x:c>
      <x:c r="C449" s="107" t="str">
        <x:v>Decision + evidence</x:v>
      </x:c>
      <x:c r="D449" s="108" t="str">
        <x:v>Should V3.0 be usability-tested by at least one designer/operator who did not create it?</x:v>
      </x:c>
      <x:c r="E449" s="108" t="str">
        <x:v>Yes — they should complete representative tasks using the guideline alone.</x:v>
      </x:c>
      <x:c r="F449" s="109" t="str">
        <x:v>Approve recommendation</x:v>
      </x:c>
      <x:c r="G449" s="110"/>
      <x:c r="H449" s="108" t="str">
        <x:f>IF(F449="Approve recommendation",E449,IF(F449="Modify / custom answer",G449,IF(F449="Reject","Rejected",IF(F449="Defer","Deferred",IF(F449="Needs evidence","Pending evidence","")))))</x:f>
        <x:v>Yes — they should complete representative tasks using the guideline alone.</x:v>
      </x:c>
      <x:c r="I449" s="107" t="str">
        <x:f>IF(F449="","Pending",IF(F449="Approve recommendation","Approved",IF(F449="Modify / custom answer",IF(G449="","Action Required","Approved with modification"),IF(F449="Reject","Rejected",IF(F449="Defer","Deferred",IF(F449="Needs evidence","Evidence Required","Pending"))))))</x:f>
        <x:v>Approved</x:v>
      </x:c>
      <x:c r="J449" s="107" t="str">
        <x:v>High</x:v>
      </x:c>
      <x:c r="K449" s="110" t="str">
        <x:v>Design Custodian + Asset Librarian / Governance PM</x:v>
      </x:c>
      <x:c r="L449" s="110"/>
      <x:c r="M449" s="108" t="str">
        <x:v>No</x:v>
      </x:c>
      <x:c r="N449" s="108" t="str"/>
      <x:c r="O449" s="108" t="str">
        <x:v>External benchmark synthesis (non-normative)</x:v>
      </x:c>
      <x:c r="P449" s="108" t="str">
        <x:v>BEN-03, BEN-05</x:v>
      </x:c>
      <x:c r="Q449" s="108" t="str">
        <x:v>https://brandguidelines.net | https://deck.gallery</x:v>
      </x:c>
      <x:c r="R449" s="108" t="str">
        <x:v>01 — Introduction &amp; Governance</x:v>
      </x:c>
      <x:c r="S449" s="110" t="str">
        <x:v>ChatGPT prefill · 06 Oct 2026</x:v>
      </x:c>
    </x:row>
    <x:row r="450" ht="36" customHeight="1">
      <x:c r="A450" s="107" t="str">
        <x:v>RF06</x:v>
      </x:c>
      <x:c r="B450" s="107" t="str">
        <x:v>Guideline usability</x:v>
      </x:c>
      <x:c r="C450" s="107" t="str">
        <x:v>Brand decision</x:v>
      </x:c>
      <x:c r="D450" s="108" t="str">
        <x:v>Should V3.0 include a concise quick-start section for everyday implementers?</x:v>
      </x:c>
      <x:c r="E450" s="108" t="str">
        <x:v>Yes — core rules, assets, do/don'ts, contacts and escalation path.</x:v>
      </x:c>
      <x:c r="F450" s="109" t="str">
        <x:v>Approve recommendation</x:v>
      </x:c>
      <x:c r="G450" s="110"/>
      <x:c r="H450" s="108" t="str">
        <x:f>IF(F450="Approve recommendation",E450,IF(F450="Modify / custom answer",G450,IF(F450="Reject","Rejected",IF(F450="Defer","Deferred",IF(F450="Needs evidence","Pending evidence","")))))</x:f>
        <x:v>Yes — core rules, assets, do/don'ts, contacts and escalation path.</x:v>
      </x:c>
      <x:c r="I450" s="107" t="str">
        <x:f>IF(F450="","Pending",IF(F450="Approve recommendation","Approved",IF(F450="Modify / custom answer",IF(G450="","Action Required","Approved with modification"),IF(F450="Reject","Rejected",IF(F450="Defer","Deferred",IF(F450="Needs evidence","Evidence Required","Pending"))))))</x:f>
        <x:v>Approved</x:v>
      </x:c>
      <x:c r="J450" s="107" t="str">
        <x:v>High</x:v>
      </x:c>
      <x:c r="K450" s="110" t="str">
        <x:v>Design Custodian + Asset Librarian / Governance PM</x:v>
      </x:c>
      <x:c r="L450" s="110"/>
      <x:c r="M450" s="108" t="str">
        <x:v>No</x:v>
      </x:c>
      <x:c r="N450" s="108" t="str"/>
      <x:c r="O450" s="108" t="str">
        <x:v>External benchmark synthesis (non-normative)</x:v>
      </x:c>
      <x:c r="P450" s="108" t="str">
        <x:v>BEN-03, BEN-05</x:v>
      </x:c>
      <x:c r="Q450" s="108" t="str">
        <x:v>https://brandguidelines.net | https://deck.gallery</x:v>
      </x:c>
      <x:c r="R450" s="108" t="str">
        <x:v>01 — Introduction &amp; Governance</x:v>
      </x:c>
      <x:c r="S450" s="110" t="str">
        <x:v>ChatGPT prefill · 06 Oct 2026</x:v>
      </x:c>
    </x:row>
    <x:row r="451" ht="36" customHeight="1">
      <x:c r="A451" s="107" t="str">
        <x:v>RF07</x:v>
      </x:c>
      <x:c r="B451" s="107" t="str">
        <x:v>Guideline usability</x:v>
      </x:c>
      <x:c r="C451" s="107" t="str">
        <x:v>Brand decision</x:v>
      </x:c>
      <x:c r="D451" s="108" t="str">
        <x:v>Should each major identity chapter include real implementation examples and do/don't guidance where ambiguity is likely?</x:v>
      </x:c>
      <x:c r="E451" s="108" t="str">
        <x:v>Yes — rules should be demonstrated, not only described.</x:v>
      </x:c>
      <x:c r="F451" s="109" t="str">
        <x:v>Approve recommendation</x:v>
      </x:c>
      <x:c r="G451" s="110"/>
      <x:c r="H451" s="108" t="str">
        <x:f>IF(F451="Approve recommendation",E451,IF(F451="Modify / custom answer",G451,IF(F451="Reject","Rejected",IF(F451="Defer","Deferred",IF(F451="Needs evidence","Pending evidence","")))))</x:f>
        <x:v>Yes — rules should be demonstrated, not only described.</x:v>
      </x:c>
      <x:c r="I451" s="107" t="str">
        <x:f>IF(F451="","Pending",IF(F451="Approve recommendation","Approved",IF(F451="Modify / custom answer",IF(G451="","Action Required","Approved with modification"),IF(F451="Reject","Rejected",IF(F451="Defer","Deferred",IF(F451="Needs evidence","Evidence Required","Pending"))))))</x:f>
        <x:v>Approved</x:v>
      </x:c>
      <x:c r="J451" s="107" t="str">
        <x:v>High</x:v>
      </x:c>
      <x:c r="K451" s="110" t="str">
        <x:v>Design Custodian + Asset Librarian / Governance PM</x:v>
      </x:c>
      <x:c r="L451" s="110"/>
      <x:c r="M451" s="108" t="str">
        <x:v>No</x:v>
      </x:c>
      <x:c r="N451" s="108" t="str"/>
      <x:c r="O451" s="108" t="str">
        <x:v>External benchmark synthesis (non-normative)</x:v>
      </x:c>
      <x:c r="P451" s="108" t="str">
        <x:v>BEN-03, BEN-05</x:v>
      </x:c>
      <x:c r="Q451" s="108" t="str">
        <x:v>https://brandguidelines.net | https://deck.gallery</x:v>
      </x:c>
      <x:c r="R451" s="108" t="str">
        <x:v>01 — Introduction &amp; Governance</x:v>
      </x:c>
      <x:c r="S451" s="110" t="str">
        <x:v>ChatGPT prefill · 06 Oct 2026</x:v>
      </x:c>
    </x:row>
    <x:row r="452" ht="36" customHeight="1">
      <x:c r="A452" s="107" t="str">
        <x:v>RF08</x:v>
      </x:c>
      <x:c r="B452" s="107" t="str">
        <x:v>Global/local adaptation</x:v>
      </x:c>
      <x:c r="C452" s="107" t="str">
        <x:v>Brand decision</x:v>
      </x:c>
      <x:c r="D452" s="108" t="str">
        <x:v>Should V3.0 explicitly separate immutable global brand rules from locally adaptable Saudi/GCC/Arabic implementation rules?</x:v>
      </x:c>
      <x:c r="E452" s="108" t="str">
        <x:v>Yes.</x:v>
      </x:c>
      <x:c r="F452" s="109" t="str">
        <x:v>Approve recommendation</x:v>
      </x:c>
      <x:c r="G452" s="110"/>
      <x:c r="H452" s="108" t="str">
        <x:f>IF(F452="Approve recommendation",E452,IF(F452="Modify / custom answer",G452,IF(F452="Reject","Rejected",IF(F452="Defer","Deferred",IF(F452="Needs evidence","Pending evidence","")))))</x:f>
        <x:v>Yes.</x:v>
      </x:c>
      <x:c r="I452" s="107" t="str">
        <x:f>IF(F452="","Pending",IF(F452="Approve recommendation","Approved",IF(F452="Modify / custom answer",IF(G452="","Action Required","Approved with modification"),IF(F452="Reject","Rejected",IF(F452="Defer","Deferred",IF(F452="Needs evidence","Evidence Required","Pending"))))))</x:f>
        <x:v>Approved</x:v>
      </x:c>
      <x:c r="J452" s="107" t="str">
        <x:v>High</x:v>
      </x:c>
      <x:c r="K452" s="110" t="str">
        <x:v>Brand Owner + Arabic / Localization Lead</x:v>
      </x:c>
      <x:c r="L452" s="110"/>
      <x:c r="M452" s="108" t="str">
        <x:v>No</x:v>
      </x:c>
      <x:c r="N452" s="108" t="str"/>
      <x:c r="O452" s="108" t="str">
        <x:v>External benchmark synthesis (non-normative)</x:v>
      </x:c>
      <x:c r="P452" s="108" t="str">
        <x:v>BEN-05</x:v>
      </x:c>
      <x:c r="Q452" s="108" t="str">
        <x:v>https://deck.gallery</x:v>
      </x:c>
      <x:c r="R452" s="108" t="str">
        <x:v>09 — Arabic &amp; Bilingual System</x:v>
      </x:c>
      <x:c r="S452" s="110" t="str">
        <x:v>ChatGPT prefill · 06 Oct 2026</x:v>
      </x:c>
    </x:row>
    <x:row r="453" ht="36" customHeight="1">
      <x:c r="A453" s="107" t="str">
        <x:v>RF09</x:v>
      </x:c>
      <x:c r="B453" s="107" t="str">
        <x:v>Identity launch &amp; motion</x:v>
      </x:c>
      <x:c r="C453" s="107" t="str">
        <x:v>Brand decision</x:v>
      </x:c>
      <x:c r="D453" s="108" t="str">
        <x:v>Should GEM maintain a formal motion/reveal specification and downloadable master assets if motion is used publicly?</x:v>
      </x:c>
      <x:c r="E453" s="108" t="str">
        <x:v>Yes — if public motion is in scope; otherwise mark as deferred.</x:v>
      </x:c>
      <x:c r="F453" s="109" t="str">
        <x:v>Approve recommendation</x:v>
      </x:c>
      <x:c r="G453" s="110"/>
      <x:c r="H453" s="108" t="str">
        <x:f>IF(F453="Approve recommendation",E453,IF(F453="Modify / custom answer",G453,IF(F453="Reject","Rejected",IF(F453="Defer","Deferred",IF(F453="Needs evidence","Pending evidence","")))))</x:f>
        <x:v>Yes — if public motion is in scope; otherwise mark as deferred.</x:v>
      </x:c>
      <x:c r="I453" s="107" t="str">
        <x:f>IF(F453="","Pending",IF(F453="Approve recommendation","Approved",IF(F453="Modify / custom answer",IF(G453="","Action Required","Approved with modification"),IF(F453="Reject","Rejected",IF(F453="Defer","Deferred",IF(F453="Needs evidence","Evidence Required","Pending"))))))</x:f>
        <x:v>Approved</x:v>
      </x:c>
      <x:c r="J453" s="107" t="str">
        <x:v>High</x:v>
      </x:c>
      <x:c r="K453" s="110" t="str">
        <x:v>Design Custodian + Digital Design Lead</x:v>
      </x:c>
      <x:c r="L453" s="110"/>
      <x:c r="M453" s="108" t="str">
        <x:v>No</x:v>
      </x:c>
      <x:c r="N453" s="108" t="str"/>
      <x:c r="O453" s="108" t="str">
        <x:v>External benchmark synthesis (non-normative)</x:v>
      </x:c>
      <x:c r="P453" s="108" t="str">
        <x:v>BEN-02</x:v>
      </x:c>
      <x:c r="Q453" s="108" t="str">
        <x:v>https://rebrand.gallery</x:v>
      </x:c>
      <x:c r="R453" s="108" t="str">
        <x:v>13 — Motion</x:v>
      </x:c>
      <x:c r="S453" s="110" t="str">
        <x:v>ChatGPT prefill · 06 Oct 2026</x:v>
      </x:c>
    </x:row>
    <x:row r="454" ht="36" customHeight="1">
      <x:c r="A454" s="107" t="str">
        <x:v>RF10</x:v>
      </x:c>
      <x:c r="B454" s="107" t="str">
        <x:v>Logo benchmarking</x:v>
      </x:c>
      <x:c r="C454" s="107" t="str">
        <x:v>Brand decision</x:v>
      </x:c>
      <x:c r="D454" s="108" t="str">
        <x:v>Should the approved GEM mark undergo a documented similarity/distinctiveness benchmark before final release?</x:v>
      </x:c>
      <x:c r="E454" s="108" t="str">
        <x:v>Yes — benchmark category adjacency and then complete legal/trademark clearance separately.</x:v>
      </x:c>
      <x:c r="F454" s="109" t="str">
        <x:v>Approve recommendation</x:v>
      </x:c>
      <x:c r="G454" s="110"/>
      <x:c r="H454" s="108" t="str">
        <x:f>IF(F454="Approve recommendation",E454,IF(F454="Modify / custom answer",G454,IF(F454="Reject","Rejected",IF(F454="Defer","Deferred",IF(F454="Needs evidence","Pending evidence","")))))</x:f>
        <x:v>Yes — benchmark category adjacency and then complete legal/trademark clearance separately.</x:v>
      </x:c>
      <x:c r="I454" s="107" t="str">
        <x:f>IF(F454="","Pending",IF(F454="Approve recommendation","Approved",IF(F454="Modify / custom answer",IF(G454="","Action Required","Approved with modification"),IF(F454="Reject","Rejected",IF(F454="Defer","Deferred",IF(F454="Needs evidence","Evidence Required","Pending"))))))</x:f>
        <x:v>Approved</x:v>
      </x:c>
      <x:c r="J454" s="107" t="str">
        <x:v>High</x:v>
      </x:c>
      <x:c r="K454" s="110" t="str">
        <x:v>Design Custodian + Legal / IP Counsel</x:v>
      </x:c>
      <x:c r="L454" s="110"/>
      <x:c r="M454" s="108" t="str">
        <x:v>No</x:v>
      </x:c>
      <x:c r="N454" s="108" t="str"/>
      <x:c r="O454" s="108" t="str">
        <x:v>External benchmark synthesis (non-normative)</x:v>
      </x:c>
      <x:c r="P454" s="108" t="str">
        <x:v>BEN-04</x:v>
      </x:c>
      <x:c r="Q454" s="108" t="str">
        <x:v>https://logosystem.co</x:v>
      </x:c>
      <x:c r="R454" s="108" t="str">
        <x:v>06 — Logo System</x:v>
      </x:c>
      <x:c r="S454" s="110" t="str">
        <x:v>ChatGPT prefill · 06 Oct 2026</x:v>
      </x:c>
    </x:row>
    <x:row r="455" ht="36" customHeight="1">
      <x:c r="A455" s="107" t="str">
        <x:v>RF11</x:v>
      </x:c>
      <x:c r="B455" s="107" t="str">
        <x:v>System demonstration</x:v>
      </x:c>
      <x:c r="C455" s="107" t="str">
        <x:v>Decision + evidence</x:v>
      </x:c>
      <x:c r="D455" s="108" t="str">
        <x:v>Should V3.0 demonstrate the identity across physical, digital, environmental and presentation applications before release?</x:v>
      </x:c>
      <x:c r="E455" s="108" t="str">
        <x:v>Yes — representative proof across all approved channels.</x:v>
      </x:c>
      <x:c r="F455" s="109" t="str">
        <x:v>Approve recommendation</x:v>
      </x:c>
      <x:c r="G455" s="110"/>
      <x:c r="H455" s="108" t="str">
        <x:f>IF(F455="Approve recommendation",E455,IF(F455="Modify / custom answer",G455,IF(F455="Reject","Rejected",IF(F455="Defer","Deferred",IF(F455="Needs evidence","Pending evidence","")))))</x:f>
        <x:v>Yes — representative proof across all approved channels.</x:v>
      </x:c>
      <x:c r="I455" s="107" t="str">
        <x:f>IF(F455="","Pending",IF(F455="Approve recommendation","Approved",IF(F455="Modify / custom answer",IF(G455="","Action Required","Approved with modification"),IF(F455="Reject","Rejected",IF(F455="Defer","Deferred",IF(F455="Needs evidence","Evidence Required","Pending"))))))</x:f>
        <x:v>Approved</x:v>
      </x:c>
      <x:c r="J455" s="107" t="str">
        <x:v>High</x:v>
      </x:c>
      <x:c r="K455" s="110" t="str">
        <x:v>Design Custodian + Brand Owner</x:v>
      </x:c>
      <x:c r="L455" s="110"/>
      <x:c r="M455" s="108" t="str">
        <x:v>No</x:v>
      </x:c>
      <x:c r="N455" s="108" t="str"/>
      <x:c r="O455" s="108" t="str">
        <x:v>External benchmark synthesis (non-normative)</x:v>
      </x:c>
      <x:c r="P455" s="108" t="str">
        <x:v>BEN-02, BEN-03, BEN-05</x:v>
      </x:c>
      <x:c r="Q455" s="108" t="str">
        <x:v>https://rebrand.gallery | https://brandguidelines.net | https://deck.gallery</x:v>
      </x:c>
      <x:c r="R455" s="108" t="str">
        <x:v>15 — Guest Experience Applications</x:v>
      </x:c>
      <x:c r="S455" s="110" t="str">
        <x:v>ChatGPT prefill · 06 Oct 2026</x:v>
      </x:c>
    </x:row>
    <x:row r="456" ht="36" customHeight="1">
      <x:c r="A456" s="107" t="str">
        <x:v>RF12</x:v>
      </x:c>
      <x:c r="B456" s="107" t="str">
        <x:v>Guideline/deck quality</x:v>
      </x:c>
      <x:c r="C456" s="107" t="str">
        <x:v>Brand decision</x:v>
      </x:c>
      <x:c r="D456" s="108" t="str">
        <x:v>Should the final guideline optimize for clarity, implementation usability and navigation rather than page count?</x:v>
      </x:c>
      <x:c r="E456" s="108" t="str">
        <x:v>Yes — completeness without unnecessary volume.</x:v>
      </x:c>
      <x:c r="F456" s="109" t="str">
        <x:v>Approve recommendation</x:v>
      </x:c>
      <x:c r="G456" s="110"/>
      <x:c r="H456" s="108" t="str">
        <x:f>IF(F456="Approve recommendation",E456,IF(F456="Modify / custom answer",G456,IF(F456="Reject","Rejected",IF(F456="Defer","Deferred",IF(F456="Needs evidence","Pending evidence","")))))</x:f>
        <x:v>Yes — completeness without unnecessary volume.</x:v>
      </x:c>
      <x:c r="I456" s="107" t="str">
        <x:f>IF(F456="","Pending",IF(F456="Approve recommendation","Approved",IF(F456="Modify / custom answer",IF(G456="","Action Required","Approved with modification"),IF(F456="Reject","Rejected",IF(F456="Defer","Deferred",IF(F456="Needs evidence","Evidence Required","Pending"))))))</x:f>
        <x:v>Approved</x:v>
      </x:c>
      <x:c r="J456" s="107" t="str">
        <x:v>High</x:v>
      </x:c>
      <x:c r="K456" s="110" t="str">
        <x:v>Design Custodian + Presentation / Document QA</x:v>
      </x:c>
      <x:c r="L456" s="110"/>
      <x:c r="M456" s="108" t="str">
        <x:v>No</x:v>
      </x:c>
      <x:c r="N456" s="108" t="str"/>
      <x:c r="O456" s="108" t="str">
        <x:v>External benchmark synthesis (non-normative)</x:v>
      </x:c>
      <x:c r="P456" s="108" t="str">
        <x:v>BEN-01, BEN-05</x:v>
      </x:c>
      <x:c r="Q456" s="108" t="str">
        <x:v>https://deck.gallery | https://visualjournal.it</x:v>
      </x:c>
      <x:c r="R456" s="108" t="str">
        <x:v>01 — Introduction &amp; Governance</x:v>
      </x:c>
      <x:c r="S456" s="110" t="str">
        <x:v>ChatGPT prefill · 06 Oct 2026</x:v>
      </x:c>
    </x:row>
    <x:row r="457">
      <x:c r="A457" s="81" t="str">
        <x:v>DS01</x:v>
      </x:c>
      <x:c r="B457" s="81" t="str">
        <x:v>System architecture &amp; release products</x:v>
      </x:c>
      <x:c r="C457" s="81" t="str">
        <x:v>Brand decision</x:v>
      </x:c>
      <x:c r="D457" s="81" t="str">
        <x:v>Should V3.0 release as three coordinated products: Brand Guidelines, Digital Design System, and Production Standards?</x:v>
      </x:c>
      <x:c r="E457" s="81" t="str">
        <x:v>Yes — one editorial brand manual, one living digital/product system, and one supplier/production standard.</x:v>
      </x:c>
      <x:c r="F457" s="81" t="str">
        <x:v>Approve recommendation</x:v>
      </x:c>
      <x:c r="G457" s="81"/>
      <x:c r="H457" s="81" t="str">
        <x:f>IF(F457="Approve recommendation",E457,IF(F457="Modify / custom answer",G457,IF(F457="Reject","Rejected",IF(F457="Defer","Deferred",IF(F457="Needs evidence","Pending evidence","")))))</x:f>
        <x:v>Yes — one editorial brand manual, one living digital/product system, and one supplier/production standard.</x:v>
      </x:c>
      <x:c r="I457" s="81" t="str">
        <x:f>IF(F457="","Pending",IF(F457="Approve recommendation","Approved",IF(F457="Modify / custom answer",IF(G457="","Action Required","Approved with modification"),IF(F457="Reject","Rejected",IF(F457="Defer","Deferred",IF(F457="Needs evidence","Evidence Required","Pending"))))))</x:f>
        <x:v>Approved</x:v>
      </x:c>
      <x:c r="J457" s="81" t="str">
        <x:v>Critical</x:v>
      </x:c>
      <x:c r="K457" s="81" t="str">
        <x:v>Brand Owner + Design Custodian</x:v>
      </x:c>
      <x:c r="L457" s="81"/>
      <x:c r="M457" s="81" t="str">
        <x:v>No</x:v>
      </x:c>
      <x:c r="N457" s="81"/>
      <x:c r="O457" s="81" t="str">
        <x:v>GEM Design System v2.1 review + benchmark synthesis</x:v>
      </x:c>
      <x:c r="P457" s="81" t="str">
        <x:v>SRC-04, BEN-03, BEN-05</x:v>
      </x:c>
      <x:c r="Q457" s="81"/>
      <x:c r="R457" s="81" t="str">
        <x:v>01 — Introduction &amp; Governance</x:v>
      </x:c>
      <x:c r="S457" s="81" t="str">
        <x:v>ChatGPT prefill · 06 Oct 2026</x:v>
      </x:c>
    </x:row>
    <x:row r="458">
      <x:c r="A458" s="81" t="str">
        <x:v>DS02</x:v>
      </x:c>
      <x:c r="B458" s="81" t="str">
        <x:v>System architecture &amp; release products</x:v>
      </x:c>
      <x:c r="C458" s="81" t="str">
        <x:v>Brand decision</x:v>
      </x:c>
      <x:c r="D458" s="81" t="str">
        <x:v>Should the Brand Guidelines remain strategic, editorial and visual rather than carrying deep component/API documentation?</x:v>
      </x:c>
      <x:c r="E458" s="81" t="str">
        <x:v>Yes — show principles, examples and handoff rules; move deep implementation detail to the Digital Design System.</x:v>
      </x:c>
      <x:c r="F458" s="81" t="str">
        <x:v>Approve recommendation</x:v>
      </x:c>
      <x:c r="G458" s="81"/>
      <x:c r="H458" s="81" t="str">
        <x:f>IF(F458="Approve recommendation",E458,IF(F458="Modify / custom answer",G458,IF(F458="Reject","Rejected",IF(F458="Defer","Deferred",IF(F458="Needs evidence","Pending evidence","")))))</x:f>
        <x:v>Yes — show principles, examples and handoff rules; move deep implementation detail to the Digital Design System.</x:v>
      </x:c>
      <x:c r="I458" s="81" t="str">
        <x:f>IF(F458="","Pending",IF(F458="Approve recommendation","Approved",IF(F458="Modify / custom answer",IF(G458="","Action Required","Approved with modification"),IF(F458="Reject","Rejected",IF(F458="Defer","Deferred",IF(F458="Needs evidence","Evidence Required","Pending"))))))</x:f>
        <x:v>Approved</x:v>
      </x:c>
      <x:c r="J458" s="81" t="str">
        <x:v>High</x:v>
      </x:c>
      <x:c r="K458" s="81" t="str">
        <x:v>Brand Owner + Design Custodian</x:v>
      </x:c>
      <x:c r="L458" s="81"/>
      <x:c r="M458" s="81" t="str">
        <x:v>No</x:v>
      </x:c>
      <x:c r="N458" s="81"/>
      <x:c r="O458" s="81" t="str">
        <x:v>GEM Design System v2.1 review</x:v>
      </x:c>
      <x:c r="P458" s="81" t="str">
        <x:v>SRC-04</x:v>
      </x:c>
      <x:c r="Q458" s="81"/>
      <x:c r="R458" s="81" t="str">
        <x:v>01 — Introduction &amp; Governance</x:v>
      </x:c>
      <x:c r="S458" s="81" t="str">
        <x:v>ChatGPT prefill · 06 Oct 2026</x:v>
      </x:c>
    </x:row>
    <x:row r="459">
      <x:c r="A459" s="81" t="str">
        <x:v>DS03</x:v>
      </x:c>
      <x:c r="B459" s="81" t="str">
        <x:v>Digital design system</x:v>
      </x:c>
      <x:c r="C459" s="81" t="str">
        <x:v>Decision + evidence</x:v>
      </x:c>
      <x:c r="D459" s="81" t="str">
        <x:v>Should the Digital Design System be maintained as living documentation (Storybook or equivalent) with versioned tokens and components?</x:v>
      </x:c>
      <x:c r="E459" s="81" t="str">
        <x:v>Yes — publish the component/tokens source as living documentation rather than relying only on PDF.</x:v>
      </x:c>
      <x:c r="F459" s="81" t="str">
        <x:v>Approve recommendation</x:v>
      </x:c>
      <x:c r="G459" s="81"/>
      <x:c r="H459" s="81" t="str">
        <x:f>IF(F459="Approve recommendation",E459,IF(F459="Modify / custom answer",G459,IF(F459="Reject","Rejected",IF(F459="Defer","Deferred",IF(F459="Needs evidence","Pending evidence","")))))</x:f>
        <x:v>Yes — publish the component/tokens source as living documentation rather than relying only on PDF.</x:v>
      </x:c>
      <x:c r="I459" s="81" t="str">
        <x:f>IF(F459="","Pending",IF(F459="Approve recommendation","Approved",IF(F459="Modify / custom answer",IF(G459="","Action Required","Approved with modification"),IF(F459="Reject","Rejected",IF(F459="Defer","Deferred",IF(F459="Needs evidence","Evidence Required","Pending"))))))</x:f>
        <x:v>Approved</x:v>
      </x:c>
      <x:c r="J459" s="81" t="str">
        <x:v>Critical</x:v>
      </x:c>
      <x:c r="K459" s="81" t="str">
        <x:v>Digital Design Lead + Engineering Lead</x:v>
      </x:c>
      <x:c r="L459" s="81"/>
      <x:c r="M459" s="81" t="str">
        <x:v>Yes</x:v>
      </x:c>
      <x:c r="N459" s="81" t="str">
        <x:v>A working Storybook/equivalent exposes current tokens, components, states, accessibility notes and version information.</x:v>
      </x:c>
      <x:c r="O459" s="81" t="str">
        <x:v>GEM Design System v2.1 review</x:v>
      </x:c>
      <x:c r="P459" s="81" t="str">
        <x:v>SRC-04</x:v>
      </x:c>
      <x:c r="Q459" s="81"/>
      <x:c r="R459" s="81" t="str">
        <x:v>14 — Digital Product/UI</x:v>
      </x:c>
      <x:c r="S459" s="81" t="str">
        <x:v>ChatGPT prefill · 06 Oct 2026</x:v>
      </x:c>
    </x:row>
    <x:row r="460">
      <x:c r="A460" s="81" t="str">
        <x:v>DS04</x:v>
      </x:c>
      <x:c r="B460" s="81" t="str">
        <x:v>Production standards</x:v>
      </x:c>
      <x:c r="C460" s="81" t="str">
        <x:v>Decision + evidence</x:v>
      </x:c>
      <x:c r="D460" s="81" t="str">
        <x:v>Should print, packaging, signage and fabrication specifications live in a separate GEM Production Standards document/package?</x:v>
      </x:c>
      <x:c r="E460" s="81" t="str">
        <x:v>Yes — consolidate dielines, materials, finishes, tolerances, proofs, fabrication and supplier release controls there.</x:v>
      </x:c>
      <x:c r="F460" s="81" t="str">
        <x:v>Approve recommendation</x:v>
      </x:c>
      <x:c r="G460" s="81"/>
      <x:c r="H460" s="81" t="str">
        <x:f>IF(F460="Approve recommendation",E460,IF(F460="Modify / custom answer",G460,IF(F460="Reject","Rejected",IF(F460="Defer","Deferred",IF(F460="Needs evidence","Pending evidence","")))))</x:f>
        <x:v>Yes — consolidate dielines, materials, finishes, tolerances, proofs, fabrication and supplier release controls there.</x:v>
      </x:c>
      <x:c r="I460" s="81" t="str">
        <x:f>IF(F460="","Pending",IF(F460="Approve recommendation","Approved",IF(F460="Modify / custom answer",IF(G460="","Action Required","Approved with modification"),IF(F460="Reject","Rejected",IF(F460="Defer","Deferred",IF(F460="Needs evidence","Evidence Required","Pending"))))))</x:f>
        <x:v>Approved</x:v>
      </x:c>
      <x:c r="J460" s="81" t="str">
        <x:v>Critical</x:v>
      </x:c>
      <x:c r="K460" s="81" t="str">
        <x:v>Design Custodian + Procurement / Supplier QA</x:v>
      </x:c>
      <x:c r="L460" s="81"/>
      <x:c r="M460" s="81" t="str">
        <x:v>Yes</x:v>
      </x:c>
      <x:c r="N460" s="81" t="str">
        <x:v>Production Standards package is issued with named owners, versioning, supplier-ready evidence and release controls.</x:v>
      </x:c>
      <x:c r="O460" s="81" t="str">
        <x:v>GEM Design System v2.1 review + V2 audit</x:v>
      </x:c>
      <x:c r="P460" s="81" t="str">
        <x:v>SRC-04, SRC-02</x:v>
      </x:c>
      <x:c r="Q460" s="81"/>
      <x:c r="R460" s="81" t="str">
        <x:v>18 — Print &amp; Production</x:v>
      </x:c>
      <x:c r="S460" s="81" t="str">
        <x:v>ChatGPT prefill · 06 Oct 2026</x:v>
      </x:c>
    </x:row>
    <x:row r="461">
      <x:c r="A461" s="81" t="str">
        <x:v>DS05</x:v>
      </x:c>
      <x:c r="B461" s="81" t="str">
        <x:v>Production artwork gate</x:v>
      </x:c>
      <x:c r="C461" s="81" t="str">
        <x:v>Decision + evidence</x:v>
      </x:c>
      <x:c r="D461" s="81" t="str">
        <x:v>Should final production release be blocked until vector logo masters, the no-spark micro mark and missing approved configurations are supplied and verified?</x:v>
      </x:c>
      <x:c r="E461" s="81" t="str">
        <x:v>Yes — no print/fabrication release from raster-only references.</x:v>
      </x:c>
      <x:c r="F461" s="81" t="str">
        <x:v>Approve recommendation</x:v>
      </x:c>
      <x:c r="G461" s="81"/>
      <x:c r="H461" s="81" t="str">
        <x:f>IF(F461="Approve recommendation",E461,IF(F461="Modify / custom answer",G461,IF(F461="Reject","Rejected",IF(F461="Defer","Deferred",IF(F461="Needs evidence","Pending evidence","")))))</x:f>
        <x:v>Yes — no print/fabrication release from raster-only references.</x:v>
      </x:c>
      <x:c r="I461" s="81" t="str">
        <x:f>IF(F461="","Pending",IF(F461="Approve recommendation","Approved",IF(F461="Modify / custom answer",IF(G461="","Action Required","Approved with modification"),IF(F461="Reject","Rejected",IF(F461="Defer","Deferred",IF(F461="Needs evidence","Evidence Required","Pending"))))))</x:f>
        <x:v>Approved</x:v>
      </x:c>
      <x:c r="J461" s="81" t="str">
        <x:v>Critical</x:v>
      </x:c>
      <x:c r="K461" s="81" t="str">
        <x:v>Design Custodian + Procurement / Supplier QA</x:v>
      </x:c>
      <x:c r="L461" s="81"/>
      <x:c r="M461" s="81" t="str">
        <x:v>Yes</x:v>
      </x:c>
      <x:c r="N461" s="81" t="str">
        <x:v>Approved vector masters and responsive/micro variants match the intended geometry, carry IDs/version/owner, and are released in production formats.</x:v>
      </x:c>
      <x:c r="O461" s="81" t="str">
        <x:v>GEM Design System v2.1 + V2 audit</x:v>
      </x:c>
      <x:c r="P461" s="81" t="str">
        <x:v>SRC-04, SRC-02</x:v>
      </x:c>
      <x:c r="Q461" s="81"/>
      <x:c r="R461" s="81" t="str">
        <x:v>06 — Logo System</x:v>
      </x:c>
      <x:c r="S461" s="81" t="str">
        <x:v>ChatGPT prefill · 06 Oct 2026</x:v>
      </x:c>
    </x:row>
    <x:row r="462">
      <x:c r="A462" s="81" t="str">
        <x:v>DS06</x:v>
      </x:c>
      <x:c r="B462" s="81" t="str">
        <x:v>Locale &amp; internationalization</x:v>
      </x:c>
      <x:c r="C462" s="81" t="str">
        <x:v>Brand decision</x:v>
      </x:c>
      <x:c r="D462" s="81" t="str">
        <x:v>Should date, calendar, numeral and direction behaviour be locale-aware rather than globally hardcoded?</x:v>
      </x:c>
      <x:c r="E462" s="81" t="str">
        <x:v>Yes — week start, date format, month names, numerals and direction should derive from locale; do not hardcode Monday-first globally.</x:v>
      </x:c>
      <x:c r="F462" s="81" t="str">
        <x:v>Approve recommendation</x:v>
      </x:c>
      <x:c r="G462" s="81"/>
      <x:c r="H462" s="81" t="str">
        <x:f>IF(F462="Approve recommendation",E462,IF(F462="Modify / custom answer",G462,IF(F462="Reject","Rejected",IF(F462="Defer","Deferred",IF(F462="Needs evidence","Pending evidence","")))))</x:f>
        <x:v>Yes — week start, date format, month names, numerals and direction should derive from locale; do not hardcode Monday-first globally.</x:v>
      </x:c>
      <x:c r="I462" s="81" t="str">
        <x:f>IF(F462="","Pending",IF(F462="Approve recommendation","Approved",IF(F462="Modify / custom answer",IF(G462="","Action Required","Approved with modification"),IF(F462="Reject","Rejected",IF(F462="Defer","Deferred",IF(F462="Needs evidence","Evidence Required","Pending"))))))</x:f>
        <x:v>Approved</x:v>
      </x:c>
      <x:c r="J462" s="81" t="str">
        <x:v>Critical</x:v>
      </x:c>
      <x:c r="K462" s="81" t="str">
        <x:v>Arabic / Localization Lead + Digital Design Lead</x:v>
      </x:c>
      <x:c r="L462" s="81"/>
      <x:c r="M462" s="81" t="str">
        <x:v>Yes</x:v>
      </x:c>
      <x:c r="N462" s="81" t="str">
        <x:v>Representative English/Arabic locale tests confirm calendar, dates, numerals and direction behave correctly.</x:v>
      </x:c>
      <x:c r="O462" s="81" t="str">
        <x:v>GEM Design System v2.1 review</x:v>
      </x:c>
      <x:c r="P462" s="81" t="str">
        <x:v>SRC-04</x:v>
      </x:c>
      <x:c r="Q462" s="81"/>
      <x:c r="R462" s="81" t="str">
        <x:v>09 — Arabic &amp; Bilingual System</x:v>
      </x:c>
      <x:c r="S462" s="81" t="str">
        <x:v>ChatGPT prefill · 06 Oct 2026</x:v>
      </x:c>
    </x:row>
    <x:row r="463">
      <x:c r="A463" s="81" t="str">
        <x:v>DS07</x:v>
      </x:c>
      <x:c r="B463" s="81" t="str">
        <x:v>Component-library scope</x:v>
      </x:c>
      <x:c r="C463" s="81" t="str">
        <x:v>Brand decision</x:v>
      </x:c>
      <x:c r="D463" s="81" t="str">
        <x:v>Should the component library expand only from verified product needs rather than aiming for an exhaustive generic UI kit?</x:v>
      </x:c>
      <x:c r="E463" s="81" t="str">
        <x:v>Yes — retain the current core set and add only evidenced gaps such as link, textarea, checkbox/radio, disclosure, search/combobox, date range, guest/quantity selector, toast/progress and locale controls where required.</x:v>
      </x:c>
      <x:c r="F463" s="81" t="str">
        <x:v>Approve recommendation</x:v>
      </x:c>
      <x:c r="G463" s="81"/>
      <x:c r="H463" s="81" t="str">
        <x:f>IF(F463="Approve recommendation",E463,IF(F463="Modify / custom answer",G463,IF(F463="Reject","Rejected",IF(F463="Defer","Deferred",IF(F463="Needs evidence","Pending evidence","")))))</x:f>
        <x:v>Yes — retain the current core set and add only evidenced gaps such as link, textarea, checkbox/radio, disclosure, search/combobox, date range, guest/quantity selector, toast/progress and locale controls where required.</x:v>
      </x:c>
      <x:c r="I463" s="81" t="str">
        <x:f>IF(F463="","Pending",IF(F463="Approve recommendation","Approved",IF(F463="Modify / custom answer",IF(G463="","Action Required","Approved with modification"),IF(F463="Reject","Rejected",IF(F463="Defer","Deferred",IF(F463="Needs evidence","Evidence Required","Pending"))))))</x:f>
        <x:v>Approved</x:v>
      </x:c>
      <x:c r="J463" s="81" t="str">
        <x:v>High</x:v>
      </x:c>
      <x:c r="K463" s="81" t="str">
        <x:v>Digital Design Lead + Engineering Lead</x:v>
      </x:c>
      <x:c r="L463" s="81"/>
      <x:c r="M463" s="81" t="str">
        <x:v>No</x:v>
      </x:c>
      <x:c r="N463" s="81"/>
      <x:c r="O463" s="81" t="str">
        <x:v>GEM Design System v2.1 review</x:v>
      </x:c>
      <x:c r="P463" s="81" t="str">
        <x:v>SRC-04</x:v>
      </x:c>
      <x:c r="Q463" s="81"/>
      <x:c r="R463" s="81" t="str">
        <x:v>14 — Digital Product/UI</x:v>
      </x:c>
      <x:c r="S463" s="81" t="str">
        <x:v>ChatGPT prefill · 06 Oct 2026</x:v>
      </x:c>
    </x:row>
    <x:row r="464">
      <x:c r="A464" s="81" t="str">
        <x:v>DS08</x:v>
      </x:c>
      <x:c r="B464" s="81" t="str">
        <x:v>Guideline editorial quality</x:v>
      </x:c>
      <x:c r="C464" s="81" t="str">
        <x:v>Decision + evidence</x:v>
      </x:c>
      <x:c r="D464" s="81" t="str">
        <x:v>Should the final Brand Guidelines demonstrate the visual world with photography, materials and application case studies using a principle → specimen → rule → application rhythm?</x:v>
      </x:c>
      <x:c r="E464" s="81" t="str">
        <x:v>Yes — reduce text density and prove the brand through art-directed examples, not rules alone.</x:v>
      </x:c>
      <x:c r="F464" s="81" t="str">
        <x:v>Approve recommendation</x:v>
      </x:c>
      <x:c r="G464" s="81"/>
      <x:c r="H464" s="81" t="str">
        <x:f>IF(F464="Approve recommendation",E464,IF(F464="Modify / custom answer",G464,IF(F464="Reject","Rejected",IF(F464="Defer","Deferred",IF(F464="Needs evidence","Pending evidence","")))))</x:f>
        <x:v>Yes — reduce text density and prove the brand through art-directed examples, not rules alone.</x:v>
      </x:c>
      <x:c r="I464" s="81" t="str">
        <x:f>IF(F464="","Pending",IF(F464="Approve recommendation","Approved",IF(F464="Modify / custom answer",IF(G464="","Action Required","Approved with modification"),IF(F464="Reject","Rejected",IF(F464="Defer","Deferred",IF(F464="Needs evidence","Evidence Required","Pending"))))))</x:f>
        <x:v>Approved</x:v>
      </x:c>
      <x:c r="J464" s="81" t="str">
        <x:v>High</x:v>
      </x:c>
      <x:c r="K464" s="81" t="str">
        <x:v>Design Custodian + Presentation / Document QA</x:v>
      </x:c>
      <x:c r="L464" s="81"/>
      <x:c r="M464" s="81" t="str">
        <x:v>Yes</x:v>
      </x:c>
      <x:c r="N464" s="81" t="str">
        <x:v>Final guideline includes approved photography/material/application specimens and do/don't examples across major identity chapters.</x:v>
      </x:c>
      <x:c r="O464" s="81" t="str">
        <x:v>GEM Design System v2.1 review + benchmark synthesis</x:v>
      </x:c>
      <x:c r="P464" s="81" t="str">
        <x:v>SRC-04, BEN-01, BEN-02, BEN-03, BEN-05</x:v>
      </x:c>
      <x:c r="Q464" s="81"/>
      <x:c r="R464" s="81" t="str">
        <x:v>12 — Photography &amp; Art Direction</x:v>
      </x:c>
      <x:c r="S464" s="81" t="str">
        <x:v>ChatGPT prefill · 06 Oct 2026</x:v>
      </x:c>
    </x:row>
    <x:row r="465">
      <x:c r="A465" s="81" t="str">
        <x:v>AB21</x:v>
      </x:c>
      <x:c r="B465" s="81" t="str">
        <x:v>Final release package</x:v>
      </x:c>
      <x:c r="C465" s="81" t="str">
        <x:v>Brand decision</x:v>
      </x:c>
      <x:c r="D465" s="81" t="str">
        <x:v>Final deliverable: GEM Digital Design System — living documentation + versioned tokens/component code</x:v>
      </x:c>
      <x:c r="E465" s="81" t="str">
        <x:v>Yes</x:v>
      </x:c>
      <x:c r="F465" s="81" t="str">
        <x:v>Approve recommendation</x:v>
      </x:c>
      <x:c r="G465" s="81"/>
      <x:c r="H465" s="81" t="str">
        <x:f>IF(F465="Approve recommendation",E465,IF(F465="Modify / custom answer",G465,IF(F465="Reject","Rejected",IF(F465="Defer","Deferred",IF(F465="Needs evidence","Pending evidence","")))))</x:f>
        <x:v>Yes</x:v>
      </x:c>
      <x:c r="I465" s="81" t="str">
        <x:f>IF(F465="","Pending",IF(F465="Approve recommendation","Approved",IF(F465="Modify / custom answer",IF(G465="","Action Required","Approved with modification"),IF(F465="Reject","Rejected",IF(F465="Defer","Deferred",IF(F465="Needs evidence","Evidence Required","Pending"))))))</x:f>
        <x:v>Approved</x:v>
      </x:c>
      <x:c r="J465" s="81" t="str">
        <x:v>High</x:v>
      </x:c>
      <x:c r="K465" s="81" t="str">
        <x:v>Brand Owner + Design Custodian + Asset Librarian / Governance PM</x:v>
      </x:c>
      <x:c r="L465" s="81"/>
      <x:c r="M465" s="81" t="str">
        <x:v>Yes</x:v>
      </x:c>
      <x:c r="N465" s="81" t="str">
        <x:v>Living documentation and versioned source package are available and match the approved digital rules.</x:v>
      </x:c>
      <x:c r="O465" s="81" t="str">
        <x:v>GEM Design System v2.1 review</x:v>
      </x:c>
      <x:c r="P465" s="81" t="str">
        <x:v>SRC-04</x:v>
      </x:c>
      <x:c r="Q465" s="81"/>
      <x:c r="R465" s="81" t="str">
        <x:v>20 — Templates &amp; Asset Library</x:v>
      </x:c>
      <x:c r="S465" s="81" t="str">
        <x:v>ChatGPT prefill · 06 Oct 2026</x:v>
      </x:c>
    </x:row>
    <x:row r="466">
      <x:c r="A466" s="81" t="str">
        <x:v>AB22</x:v>
      </x:c>
      <x:c r="B466" s="81" t="str">
        <x:v>Final release package</x:v>
      </x:c>
      <x:c r="C466" s="81" t="str">
        <x:v>Brand decision</x:v>
      </x:c>
      <x:c r="D466" s="81" t="str">
        <x:v>Final deliverable: GEM Production Standards — print / packaging / signage supplier specification</x:v>
      </x:c>
      <x:c r="E466" s="81" t="str">
        <x:v>Yes</x:v>
      </x:c>
      <x:c r="F466" s="81" t="str">
        <x:v>Approve recommendation</x:v>
      </x:c>
      <x:c r="G466" s="81"/>
      <x:c r="H466" s="81" t="str">
        <x:f>IF(F466="Approve recommendation",E466,IF(F466="Modify / custom answer",G466,IF(F466="Reject","Rejected",IF(F466="Defer","Deferred",IF(F466="Needs evidence","Pending evidence","")))))</x:f>
        <x:v>Yes</x:v>
      </x:c>
      <x:c r="I466" s="81" t="str">
        <x:f>IF(F466="","Pending",IF(F466="Approve recommendation","Approved",IF(F466="Modify / custom answer",IF(G466="","Action Required","Approved with modification"),IF(F466="Reject","Rejected",IF(F466="Defer","Deferred",IF(F466="Needs evidence","Evidence Required","Pending"))))))</x:f>
        <x:v>Approved</x:v>
      </x:c>
      <x:c r="J466" s="81" t="str">
        <x:v>High</x:v>
      </x:c>
      <x:c r="K466" s="81" t="str">
        <x:v>Brand Owner + Design Custodian + Asset Librarian / Governance PM</x:v>
      </x:c>
      <x:c r="L466" s="81"/>
      <x:c r="M466" s="81" t="str">
        <x:v>Yes</x:v>
      </x:c>
      <x:c r="N466" s="81" t="str">
        <x:v>Production Standards package is complete for every approved physical-production stream.</x:v>
      </x:c>
      <x:c r="O466" s="81" t="str">
        <x:v>GEM Design System v2.1 review + V2 audit</x:v>
      </x:c>
      <x:c r="P466" s="81" t="str">
        <x:v>SRC-04, SRC-02</x:v>
      </x:c>
      <x:c r="Q466" s="81"/>
      <x:c r="R466" s="81" t="str">
        <x:v>18 — Print &amp; Production</x:v>
      </x:c>
      <x:c r="S466" s="81" t="str">
        <x:v>ChatGPT prefill · 06 Oct 2026</x:v>
      </x:c>
    </x:row>
    <x:row r="467">
      <x:c r="A467" s="81" t="str">
        <x:v>AB23</x:v>
      </x:c>
      <x:c r="B467" s="81" t="str">
        <x:v>Final release package</x:v>
      </x:c>
      <x:c r="C467" s="81" t="str">
        <x:v>Brand decision</x:v>
      </x:c>
      <x:c r="D467" s="81" t="str">
        <x:v>Final deliverable: GEM Functional Glyph System source package</x:v>
      </x:c>
      <x:c r="E467" s="81" t="str">
        <x:v>Yes if the approved product/wayfinding scope requires functional glyphs</x:v>
      </x:c>
      <x:c r="F467" s="81" t="str">
        <x:v>Modify / custom answer</x:v>
      </x:c>
      <x:c r="G467" s="81" t="str">
        <x:v>Yes — include the minimal approved GEM Functional Glyph System source package once use cases are verified.</x:v>
      </x:c>
      <x:c r="H467" s="81" t="str">
        <x:f>IF(F467="Approve recommendation",E467,IF(F467="Modify / custom answer",G467,IF(F467="Reject","Rejected",IF(F467="Defer","Deferred",IF(F467="Needs evidence","Pending evidence","")))))</x:f>
        <x:v>Yes — include the minimal approved GEM Functional Glyph System source package once use cases are verified.</x:v>
      </x:c>
      <x:c r="I467" s="81" t="str">
        <x:f>IF(F467="","Pending",IF(F467="Approve recommendation","Approved",IF(F467="Modify / custom answer",IF(G467="","Action Required","Approved with modification"),IF(F467="Reject","Rejected",IF(F467="Defer","Deferred",IF(F467="Needs evidence","Evidence Required","Pending"))))))</x:f>
        <x:v>Approved with modification</x:v>
      </x:c>
      <x:c r="J467" s="81" t="str">
        <x:v>High</x:v>
      </x:c>
      <x:c r="K467" s="81" t="str">
        <x:v>Brand Owner + Design Custodian + Asset Librarian / Governance PM</x:v>
      </x:c>
      <x:c r="L467" s="81" t="str">
        <x:v>Approved as the V3.0 consultant recommendation, grounded in the current GEM source system and best-practice review.</x:v>
      </x:c>
      <x:c r="M467" s="81" t="str">
        <x:v>No</x:v>
      </x:c>
      <x:c r="N467" s="81"/>
      <x:c r="O467" s="81" t="str">
        <x:v>GEM Design System v2.1 review</x:v>
      </x:c>
      <x:c r="P467" s="81" t="str">
        <x:v>SRC-04</x:v>
      </x:c>
      <x:c r="Q467" s="81"/>
      <x:c r="R467" s="81" t="str">
        <x:v>11 — Iconography</x:v>
      </x:c>
      <x:c r="S467" s="81" t="str">
        <x:v>ChatGPT prefill · 06 Oct 2026</x:v>
      </x:c>
    </x:row>
    <x:row r="468">
      <x:c r="A468" s="75"/>
      <x:c r="B468" s="75"/>
      <x:c r="C468" s="75"/>
      <x:c r="D468" s="75"/>
      <x:c r="E468" s="75"/>
      <x:c r="F468" s="75"/>
      <x:c r="G468" s="75"/>
      <x:c r="H468" s="75"/>
      <x:c r="I468" s="75"/>
      <x:c r="J468" s="75"/>
      <x:c r="K468" s="75"/>
      <x:c r="L468" s="75"/>
      <x:c r="M468" s="75"/>
      <x:c r="N468" s="75"/>
      <x:c r="O468" s="75"/>
      <x:c r="P468" s="75"/>
      <x:c r="Q468" s="75"/>
      <x:c r="R468" s="75"/>
      <x:c r="S468" s="75"/>
    </x:row>
    <x:row r="469">
      <x:c r="A469" s="75"/>
      <x:c r="B469" s="75"/>
      <x:c r="C469" s="75"/>
      <x:c r="D469" s="75"/>
      <x:c r="E469" s="75"/>
      <x:c r="F469" s="75"/>
      <x:c r="G469" s="75"/>
      <x:c r="H469" s="75"/>
      <x:c r="I469" s="75"/>
      <x:c r="J469" s="75"/>
      <x:c r="K469" s="75"/>
      <x:c r="L469" s="75"/>
      <x:c r="M469" s="75"/>
      <x:c r="N469" s="75"/>
      <x:c r="O469" s="75"/>
      <x:c r="P469" s="75"/>
      <x:c r="Q469" s="75"/>
      <x:c r="R469" s="75"/>
      <x:c r="S469" s="75"/>
    </x:row>
    <x:row r="470">
      <x:c r="A470" s="75"/>
      <x:c r="B470" s="75"/>
      <x:c r="C470" s="75"/>
      <x:c r="D470" s="75"/>
      <x:c r="E470" s="75"/>
      <x:c r="F470" s="75"/>
      <x:c r="G470" s="75"/>
      <x:c r="H470" s="75"/>
      <x:c r="I470" s="75"/>
      <x:c r="J470" s="75"/>
      <x:c r="K470" s="75"/>
      <x:c r="L470" s="75"/>
      <x:c r="M470" s="75"/>
      <x:c r="N470" s="75"/>
      <x:c r="O470" s="75"/>
      <x:c r="P470" s="75"/>
      <x:c r="Q470" s="75"/>
      <x:c r="R470" s="75"/>
      <x:c r="S470" s="75"/>
    </x:row>
    <x:row r="471">
      <x:c r="A471" s="75"/>
      <x:c r="B471" s="75"/>
      <x:c r="C471" s="75"/>
      <x:c r="D471" s="75"/>
      <x:c r="E471" s="75"/>
      <x:c r="F471" s="75"/>
      <x:c r="G471" s="75"/>
      <x:c r="H471" s="75"/>
      <x:c r="I471" s="75"/>
      <x:c r="J471" s="75"/>
      <x:c r="K471" s="75"/>
      <x:c r="L471" s="75"/>
      <x:c r="M471" s="75"/>
      <x:c r="N471" s="75"/>
      <x:c r="O471" s="75"/>
      <x:c r="P471" s="75"/>
      <x:c r="Q471" s="75"/>
      <x:c r="R471" s="75"/>
      <x:c r="S471" s="75"/>
    </x:row>
    <x:row r="472">
      <x:c r="A472" s="75"/>
      <x:c r="B472" s="75"/>
      <x:c r="C472" s="75"/>
      <x:c r="D472" s="75"/>
      <x:c r="E472" s="75"/>
      <x:c r="F472" s="75"/>
      <x:c r="G472" s="75"/>
      <x:c r="H472" s="75"/>
      <x:c r="I472" s="75"/>
      <x:c r="J472" s="75"/>
      <x:c r="K472" s="75"/>
      <x:c r="L472" s="75"/>
      <x:c r="M472" s="75"/>
      <x:c r="N472" s="75"/>
      <x:c r="O472" s="75"/>
      <x:c r="P472" s="75"/>
      <x:c r="Q472" s="75"/>
      <x:c r="R472" s="75"/>
      <x:c r="S472" s="75"/>
    </x:row>
    <x:row r="473">
      <x:c r="A473" s="75"/>
      <x:c r="B473" s="75"/>
      <x:c r="C473" s="75"/>
      <x:c r="D473" s="75"/>
      <x:c r="E473" s="75"/>
      <x:c r="F473" s="75"/>
      <x:c r="G473" s="75"/>
      <x:c r="H473" s="75"/>
      <x:c r="I473" s="75"/>
      <x:c r="J473" s="75"/>
      <x:c r="K473" s="75"/>
      <x:c r="L473" s="75"/>
      <x:c r="M473" s="75"/>
      <x:c r="N473" s="75"/>
      <x:c r="O473" s="75"/>
      <x:c r="P473" s="75"/>
      <x:c r="Q473" s="75"/>
      <x:c r="R473" s="75"/>
      <x:c r="S473" s="75"/>
    </x:row>
    <x:row r="474">
      <x:c r="A474" s="75"/>
      <x:c r="B474" s="75"/>
      <x:c r="C474" s="75"/>
      <x:c r="D474" s="75"/>
      <x:c r="E474" s="75"/>
      <x:c r="F474" s="75"/>
      <x:c r="G474" s="75"/>
      <x:c r="H474" s="75"/>
      <x:c r="I474" s="75"/>
      <x:c r="J474" s="75"/>
      <x:c r="K474" s="75"/>
      <x:c r="L474" s="75"/>
      <x:c r="M474" s="75"/>
      <x:c r="N474" s="75"/>
      <x:c r="O474" s="75"/>
      <x:c r="P474" s="75"/>
      <x:c r="Q474" s="75"/>
      <x:c r="R474" s="75"/>
      <x:c r="S474" s="75"/>
    </x:row>
    <x:row r="475">
      <x:c r="A475" s="75"/>
      <x:c r="B475" s="75"/>
      <x:c r="C475" s="75"/>
      <x:c r="D475" s="75"/>
      <x:c r="E475" s="75"/>
      <x:c r="F475" s="75"/>
      <x:c r="G475" s="75"/>
      <x:c r="H475" s="75"/>
      <x:c r="I475" s="75"/>
      <x:c r="J475" s="75"/>
      <x:c r="K475" s="75"/>
      <x:c r="L475" s="75"/>
      <x:c r="M475" s="75"/>
      <x:c r="N475" s="75"/>
      <x:c r="O475" s="75"/>
      <x:c r="P475" s="75"/>
      <x:c r="Q475" s="75"/>
      <x:c r="R475" s="75"/>
      <x:c r="S475" s="75"/>
    </x:row>
    <x:row r="476">
      <x:c r="A476" s="75"/>
      <x:c r="B476" s="75"/>
      <x:c r="C476" s="75"/>
      <x:c r="D476" s="75"/>
      <x:c r="E476" s="75"/>
      <x:c r="F476" s="75"/>
      <x:c r="G476" s="75"/>
      <x:c r="H476" s="75"/>
      <x:c r="I476" s="75"/>
      <x:c r="J476" s="75"/>
      <x:c r="K476" s="75"/>
      <x:c r="L476" s="75"/>
      <x:c r="M476" s="75"/>
      <x:c r="N476" s="75"/>
      <x:c r="O476" s="75"/>
      <x:c r="P476" s="75"/>
      <x:c r="Q476" s="75"/>
      <x:c r="R476" s="75"/>
      <x:c r="S476" s="75"/>
    </x:row>
    <x:row r="477">
      <x:c r="A477" s="75"/>
      <x:c r="B477" s="75"/>
      <x:c r="C477" s="75"/>
      <x:c r="D477" s="75"/>
      <x:c r="E477" s="75"/>
      <x:c r="F477" s="75"/>
      <x:c r="G477" s="75"/>
      <x:c r="H477" s="75"/>
      <x:c r="I477" s="75"/>
      <x:c r="J477" s="75"/>
      <x:c r="K477" s="75"/>
      <x:c r="L477" s="75"/>
      <x:c r="M477" s="75"/>
      <x:c r="N477" s="75"/>
      <x:c r="O477" s="75"/>
      <x:c r="P477" s="75"/>
      <x:c r="Q477" s="75"/>
      <x:c r="R477" s="75"/>
      <x:c r="S477" s="75"/>
    </x:row>
    <x:row r="478">
      <x:c r="A478" s="75"/>
      <x:c r="B478" s="75"/>
      <x:c r="C478" s="75"/>
      <x:c r="D478" s="75"/>
      <x:c r="E478" s="75"/>
      <x:c r="F478" s="75"/>
      <x:c r="G478" s="75"/>
      <x:c r="H478" s="75"/>
      <x:c r="I478" s="75"/>
      <x:c r="J478" s="75"/>
      <x:c r="K478" s="75"/>
      <x:c r="L478" s="75"/>
      <x:c r="M478" s="75"/>
      <x:c r="N478" s="75"/>
      <x:c r="O478" s="75"/>
      <x:c r="P478" s="75"/>
      <x:c r="Q478" s="75"/>
      <x:c r="R478" s="75"/>
      <x:c r="S478" s="75"/>
    </x:row>
    <x:row r="479">
      <x:c r="A479" s="75"/>
      <x:c r="B479" s="75"/>
      <x:c r="C479" s="75"/>
      <x:c r="D479" s="75"/>
      <x:c r="E479" s="75"/>
      <x:c r="F479" s="75"/>
      <x:c r="G479" s="75"/>
      <x:c r="H479" s="75"/>
      <x:c r="I479" s="75"/>
      <x:c r="J479" s="75"/>
      <x:c r="K479" s="75"/>
      <x:c r="L479" s="75"/>
      <x:c r="M479" s="75"/>
      <x:c r="N479" s="75"/>
      <x:c r="O479" s="75"/>
      <x:c r="P479" s="75"/>
      <x:c r="Q479" s="75"/>
      <x:c r="R479" s="75"/>
      <x:c r="S479" s="75"/>
    </x:row>
    <x:row r="480">
      <x:c r="A480" s="75"/>
      <x:c r="B480" s="75"/>
      <x:c r="C480" s="75"/>
      <x:c r="D480" s="75"/>
      <x:c r="E480" s="75"/>
      <x:c r="F480" s="75"/>
      <x:c r="G480" s="75"/>
      <x:c r="H480" s="75"/>
      <x:c r="I480" s="75"/>
      <x:c r="J480" s="75"/>
      <x:c r="K480" s="75"/>
      <x:c r="L480" s="75"/>
      <x:c r="M480" s="75"/>
      <x:c r="N480" s="75"/>
      <x:c r="O480" s="75"/>
      <x:c r="P480" s="75"/>
      <x:c r="Q480" s="75"/>
      <x:c r="R480" s="75"/>
      <x:c r="S480" s="75"/>
    </x:row>
    <x:row r="481">
      <x:c r="A481" s="75"/>
      <x:c r="B481" s="75"/>
      <x:c r="C481" s="75"/>
      <x:c r="D481" s="75"/>
      <x:c r="E481" s="75"/>
      <x:c r="F481" s="75"/>
      <x:c r="G481" s="75"/>
      <x:c r="H481" s="75"/>
      <x:c r="I481" s="75"/>
      <x:c r="J481" s="75"/>
      <x:c r="K481" s="75"/>
      <x:c r="L481" s="75"/>
      <x:c r="M481" s="75"/>
      <x:c r="N481" s="75"/>
      <x:c r="O481" s="75"/>
      <x:c r="P481" s="75"/>
      <x:c r="Q481" s="75"/>
      <x:c r="R481" s="75"/>
      <x:c r="S481" s="75"/>
    </x:row>
    <x:row r="482">
      <x:c r="A482" s="75"/>
      <x:c r="B482" s="75"/>
      <x:c r="C482" s="75"/>
      <x:c r="D482" s="75"/>
      <x:c r="E482" s="75"/>
      <x:c r="F482" s="75"/>
      <x:c r="G482" s="75"/>
      <x:c r="H482" s="75"/>
      <x:c r="I482" s="75"/>
      <x:c r="J482" s="75"/>
      <x:c r="K482" s="75"/>
      <x:c r="L482" s="75"/>
      <x:c r="M482" s="75"/>
      <x:c r="N482" s="75"/>
      <x:c r="O482" s="75"/>
      <x:c r="P482" s="75"/>
      <x:c r="Q482" s="75"/>
      <x:c r="R482" s="75"/>
      <x:c r="S482" s="75"/>
    </x:row>
    <x:row r="483">
      <x:c r="A483" s="75"/>
      <x:c r="B483" s="75"/>
      <x:c r="C483" s="75"/>
      <x:c r="D483" s="75"/>
      <x:c r="E483" s="75"/>
      <x:c r="F483" s="75"/>
      <x:c r="G483" s="75"/>
      <x:c r="H483" s="75"/>
      <x:c r="I483" s="75"/>
      <x:c r="J483" s="75"/>
      <x:c r="K483" s="75"/>
      <x:c r="L483" s="75"/>
      <x:c r="M483" s="75"/>
      <x:c r="N483" s="75"/>
      <x:c r="O483" s="75"/>
      <x:c r="P483" s="75"/>
      <x:c r="Q483" s="75"/>
      <x:c r="R483" s="75"/>
      <x:c r="S483" s="75"/>
    </x:row>
    <x:row r="484">
      <x:c r="A484" s="75"/>
      <x:c r="B484" s="75"/>
      <x:c r="C484" s="75"/>
      <x:c r="D484" s="75"/>
      <x:c r="E484" s="75"/>
      <x:c r="F484" s="75"/>
      <x:c r="G484" s="75"/>
      <x:c r="H484" s="75"/>
      <x:c r="I484" s="75"/>
      <x:c r="J484" s="75"/>
      <x:c r="K484" s="75"/>
      <x:c r="L484" s="75"/>
      <x:c r="M484" s="75"/>
      <x:c r="N484" s="75"/>
      <x:c r="O484" s="75"/>
      <x:c r="P484" s="75"/>
      <x:c r="Q484" s="75"/>
      <x:c r="R484" s="75"/>
      <x:c r="S484" s="75"/>
    </x:row>
    <x:row r="485">
      <x:c r="A485" s="75"/>
      <x:c r="B485" s="75"/>
      <x:c r="C485" s="75"/>
      <x:c r="D485" s="75"/>
      <x:c r="E485" s="75"/>
      <x:c r="F485" s="75"/>
      <x:c r="G485" s="75"/>
      <x:c r="H485" s="75"/>
      <x:c r="I485" s="75"/>
      <x:c r="J485" s="75"/>
      <x:c r="K485" s="75"/>
      <x:c r="L485" s="75"/>
      <x:c r="M485" s="75"/>
      <x:c r="N485" s="75"/>
      <x:c r="O485" s="75"/>
      <x:c r="P485" s="75"/>
      <x:c r="Q485" s="75"/>
      <x:c r="R485" s="75"/>
      <x:c r="S485" s="75"/>
    </x:row>
    <x:row r="486">
      <x:c r="A486" s="75"/>
      <x:c r="B486" s="75"/>
      <x:c r="C486" s="75"/>
      <x:c r="D486" s="75"/>
      <x:c r="E486" s="75"/>
      <x:c r="F486" s="75"/>
      <x:c r="G486" s="75"/>
      <x:c r="H486" s="75"/>
      <x:c r="I486" s="75"/>
      <x:c r="J486" s="75"/>
      <x:c r="K486" s="75"/>
      <x:c r="L486" s="75"/>
      <x:c r="M486" s="75"/>
      <x:c r="N486" s="75"/>
      <x:c r="O486" s="75"/>
      <x:c r="P486" s="75"/>
      <x:c r="Q486" s="75"/>
      <x:c r="R486" s="75"/>
      <x:c r="S486" s="75"/>
    </x:row>
    <x:row r="487">
      <x:c r="A487" s="75"/>
      <x:c r="B487" s="75"/>
      <x:c r="C487" s="75"/>
      <x:c r="D487" s="75"/>
      <x:c r="E487" s="75"/>
      <x:c r="F487" s="75"/>
      <x:c r="G487" s="75"/>
      <x:c r="H487" s="75"/>
      <x:c r="I487" s="75"/>
      <x:c r="J487" s="75"/>
      <x:c r="K487" s="75"/>
      <x:c r="L487" s="75"/>
      <x:c r="M487" s="75"/>
      <x:c r="N487" s="75"/>
      <x:c r="O487" s="75"/>
      <x:c r="P487" s="75"/>
      <x:c r="Q487" s="75"/>
      <x:c r="R487" s="75"/>
      <x:c r="S487" s="75"/>
    </x:row>
    <x:row r="488">
      <x:c r="A488" s="75"/>
      <x:c r="B488" s="75"/>
      <x:c r="C488" s="75"/>
      <x:c r="D488" s="75"/>
      <x:c r="E488" s="75"/>
      <x:c r="F488" s="75"/>
      <x:c r="G488" s="75"/>
      <x:c r="H488" s="75"/>
      <x:c r="I488" s="75"/>
      <x:c r="J488" s="75"/>
      <x:c r="K488" s="75"/>
      <x:c r="L488" s="75"/>
      <x:c r="M488" s="75"/>
      <x:c r="N488" s="75"/>
      <x:c r="O488" s="75"/>
      <x:c r="P488" s="75"/>
      <x:c r="Q488" s="75"/>
      <x:c r="R488" s="75"/>
      <x:c r="S488" s="75"/>
    </x:row>
    <x:row r="489">
      <x:c r="A489" s="75"/>
      <x:c r="B489" s="75"/>
      <x:c r="C489" s="75"/>
      <x:c r="D489" s="75"/>
      <x:c r="E489" s="75"/>
      <x:c r="F489" s="75"/>
      <x:c r="G489" s="75"/>
      <x:c r="H489" s="75"/>
      <x:c r="I489" s="75"/>
      <x:c r="J489" s="75"/>
      <x:c r="K489" s="75"/>
      <x:c r="L489" s="75"/>
      <x:c r="M489" s="75"/>
      <x:c r="N489" s="75"/>
      <x:c r="O489" s="75"/>
      <x:c r="P489" s="75"/>
      <x:c r="Q489" s="75"/>
      <x:c r="R489" s="75"/>
      <x:c r="S489" s="75"/>
    </x:row>
    <x:row r="490">
      <x:c r="A490" s="75"/>
      <x:c r="B490" s="75"/>
      <x:c r="C490" s="75"/>
      <x:c r="D490" s="75"/>
      <x:c r="E490" s="75"/>
      <x:c r="F490" s="75"/>
      <x:c r="G490" s="75"/>
      <x:c r="H490" s="75"/>
      <x:c r="I490" s="75"/>
      <x:c r="J490" s="75"/>
      <x:c r="K490" s="75"/>
      <x:c r="L490" s="75"/>
      <x:c r="M490" s="75"/>
      <x:c r="N490" s="75"/>
      <x:c r="O490" s="75"/>
      <x:c r="P490" s="75"/>
      <x:c r="Q490" s="75"/>
      <x:c r="R490" s="75"/>
      <x:c r="S490" s="75"/>
    </x:row>
    <x:row r="491">
      <x:c r="A491" s="75"/>
      <x:c r="B491" s="75"/>
      <x:c r="C491" s="75"/>
      <x:c r="D491" s="75"/>
      <x:c r="E491" s="75"/>
      <x:c r="F491" s="75"/>
      <x:c r="G491" s="75"/>
      <x:c r="H491" s="75"/>
      <x:c r="I491" s="75"/>
      <x:c r="J491" s="75"/>
      <x:c r="K491" s="75"/>
      <x:c r="L491" s="75"/>
      <x:c r="M491" s="75"/>
      <x:c r="N491" s="75"/>
      <x:c r="O491" s="75"/>
      <x:c r="P491" s="75"/>
      <x:c r="Q491" s="75"/>
      <x:c r="R491" s="75"/>
      <x:c r="S491" s="75"/>
    </x:row>
    <x:row r="492">
      <x:c r="A492" s="75"/>
      <x:c r="B492" s="75"/>
      <x:c r="C492" s="75"/>
      <x:c r="D492" s="75"/>
      <x:c r="E492" s="75"/>
      <x:c r="F492" s="75"/>
      <x:c r="G492" s="75"/>
      <x:c r="H492" s="75"/>
      <x:c r="I492" s="75"/>
      <x:c r="J492" s="75"/>
      <x:c r="K492" s="75"/>
      <x:c r="L492" s="75"/>
      <x:c r="M492" s="75"/>
      <x:c r="N492" s="75"/>
      <x:c r="O492" s="75"/>
      <x:c r="P492" s="75"/>
      <x:c r="Q492" s="75"/>
      <x:c r="R492" s="75"/>
      <x:c r="S492" s="75"/>
    </x:row>
    <x:row r="493">
      <x:c r="A493" s="75"/>
      <x:c r="B493" s="75"/>
      <x:c r="C493" s="75"/>
      <x:c r="D493" s="75"/>
      <x:c r="E493" s="75"/>
      <x:c r="F493" s="75"/>
      <x:c r="G493" s="75"/>
      <x:c r="H493" s="75"/>
      <x:c r="I493" s="75"/>
      <x:c r="J493" s="75"/>
      <x:c r="K493" s="75"/>
      <x:c r="L493" s="75"/>
      <x:c r="M493" s="75"/>
      <x:c r="N493" s="75"/>
      <x:c r="O493" s="75"/>
      <x:c r="P493" s="75"/>
      <x:c r="Q493" s="75"/>
      <x:c r="R493" s="75"/>
      <x:c r="S493" s="75"/>
    </x:row>
    <x:row r="494">
      <x:c r="A494" s="75"/>
      <x:c r="B494" s="75"/>
      <x:c r="C494" s="75"/>
      <x:c r="D494" s="75"/>
      <x:c r="E494" s="75"/>
      <x:c r="F494" s="75"/>
      <x:c r="G494" s="75"/>
      <x:c r="H494" s="75"/>
      <x:c r="I494" s="75"/>
      <x:c r="J494" s="75"/>
      <x:c r="K494" s="75"/>
      <x:c r="L494" s="75"/>
      <x:c r="M494" s="75"/>
      <x:c r="N494" s="75"/>
      <x:c r="O494" s="75"/>
      <x:c r="P494" s="75"/>
      <x:c r="Q494" s="75"/>
      <x:c r="R494" s="75"/>
      <x:c r="S494" s="75"/>
    </x:row>
    <x:row r="495">
      <x:c r="A495" s="75"/>
      <x:c r="B495" s="75"/>
      <x:c r="C495" s="75"/>
      <x:c r="D495" s="75"/>
      <x:c r="E495" s="75"/>
      <x:c r="F495" s="75"/>
      <x:c r="G495" s="75"/>
      <x:c r="H495" s="75"/>
      <x:c r="I495" s="75"/>
      <x:c r="J495" s="75"/>
      <x:c r="K495" s="75"/>
      <x:c r="L495" s="75"/>
      <x:c r="M495" s="75"/>
      <x:c r="N495" s="75"/>
      <x:c r="O495" s="75"/>
      <x:c r="P495" s="75"/>
      <x:c r="Q495" s="75"/>
      <x:c r="R495" s="75"/>
      <x:c r="S495" s="75"/>
    </x:row>
    <x:row r="496">
      <x:c r="A496" s="75"/>
      <x:c r="B496" s="75"/>
      <x:c r="C496" s="75"/>
      <x:c r="D496" s="75"/>
      <x:c r="E496" s="75"/>
      <x:c r="F496" s="75"/>
      <x:c r="G496" s="75"/>
      <x:c r="H496" s="75"/>
      <x:c r="I496" s="75"/>
      <x:c r="J496" s="75"/>
      <x:c r="K496" s="75"/>
      <x:c r="L496" s="75"/>
      <x:c r="M496" s="75"/>
      <x:c r="N496" s="75"/>
      <x:c r="O496" s="75"/>
      <x:c r="P496" s="75"/>
      <x:c r="Q496" s="75"/>
      <x:c r="R496" s="75"/>
      <x:c r="S496" s="75"/>
    </x:row>
    <x:row r="497">
      <x:c r="A497" s="75"/>
      <x:c r="B497" s="75"/>
      <x:c r="C497" s="75"/>
      <x:c r="D497" s="75"/>
      <x:c r="E497" s="75"/>
      <x:c r="F497" s="75"/>
      <x:c r="G497" s="75"/>
      <x:c r="H497" s="75"/>
      <x:c r="I497" s="75"/>
      <x:c r="J497" s="75"/>
      <x:c r="K497" s="75"/>
      <x:c r="L497" s="75"/>
      <x:c r="M497" s="75"/>
      <x:c r="N497" s="75"/>
      <x:c r="O497" s="75"/>
      <x:c r="P497" s="75"/>
      <x:c r="Q497" s="75"/>
      <x:c r="R497" s="75"/>
      <x:c r="S497" s="75"/>
    </x:row>
    <x:row r="498">
      <x:c r="A498" s="75"/>
      <x:c r="B498" s="75"/>
      <x:c r="C498" s="75"/>
      <x:c r="D498" s="75"/>
      <x:c r="E498" s="75"/>
      <x:c r="F498" s="75"/>
      <x:c r="G498" s="75"/>
      <x:c r="H498" s="75"/>
      <x:c r="I498" s="75"/>
      <x:c r="J498" s="75"/>
      <x:c r="K498" s="75"/>
      <x:c r="L498" s="75"/>
      <x:c r="M498" s="75"/>
      <x:c r="N498" s="75"/>
      <x:c r="O498" s="75"/>
      <x:c r="P498" s="75"/>
      <x:c r="Q498" s="75"/>
      <x:c r="R498" s="75"/>
      <x:c r="S498" s="75"/>
    </x:row>
    <x:row r="499">
      <x:c r="A499" s="75"/>
      <x:c r="B499" s="75"/>
      <x:c r="C499" s="75"/>
      <x:c r="D499" s="75"/>
      <x:c r="E499" s="75"/>
      <x:c r="F499" s="75"/>
      <x:c r="G499" s="75"/>
      <x:c r="H499" s="75"/>
      <x:c r="I499" s="75"/>
      <x:c r="J499" s="75"/>
      <x:c r="K499" s="75"/>
      <x:c r="L499" s="75"/>
      <x:c r="M499" s="75"/>
      <x:c r="N499" s="75"/>
      <x:c r="O499" s="75"/>
      <x:c r="P499" s="75"/>
      <x:c r="Q499" s="75"/>
      <x:c r="R499" s="75"/>
      <x:c r="S499" s="75"/>
    </x:row>
    <x:row r="500">
      <x:c r="A500" s="75"/>
      <x:c r="B500" s="75"/>
      <x:c r="C500" s="75"/>
      <x:c r="D500" s="75"/>
      <x:c r="E500" s="75"/>
      <x:c r="F500" s="75"/>
      <x:c r="G500" s="75"/>
      <x:c r="H500" s="75"/>
      <x:c r="I500" s="75"/>
      <x:c r="J500" s="75"/>
      <x:c r="K500" s="75"/>
      <x:c r="L500" s="75"/>
      <x:c r="M500" s="75"/>
      <x:c r="N500" s="75"/>
      <x:c r="O500" s="75"/>
      <x:c r="P500" s="75"/>
      <x:c r="Q500" s="75"/>
      <x:c r="R500" s="75"/>
      <x:c r="S500" s="75"/>
    </x:row>
  </x:sheetData>
  <x:conditionalFormatting sqref="I2:I456">
    <x:cfRule type="expression" dxfId="0" priority="1">
      <x:formula>I2="Approved"</x:formula>
    </x:cfRule>
    <x:cfRule type="expression" dxfId="1" priority="2">
      <x:formula>I2="Approved with modification"</x:formula>
    </x:cfRule>
    <x:cfRule type="expression" dxfId="2" priority="3">
      <x:formula>I2="Evidence Required"</x:formula>
    </x:cfRule>
    <x:cfRule type="expression" dxfId="3" priority="4">
      <x:formula>I2="Rejected"</x:formula>
    </x:cfRule>
    <x:cfRule type="expression" dxfId="4" priority="5">
      <x:formula>I2="Deferred"</x:formula>
    </x:cfRule>
    <x:cfRule type="expression" dxfId="5" priority="6">
      <x:formula>I2="Action Required"</x:formula>
    </x:cfRule>
  </x:conditionalFormatting>
  <x:conditionalFormatting sqref="J2:J456">
    <x:cfRule type="expression" dxfId="6" priority="7">
      <x:formula>J2="Critical"</x:formula>
    </x:cfRule>
    <x:cfRule type="expression" dxfId="7" priority="8">
      <x:formula>J2="High"</x:formula>
    </x:cfRule>
  </x:conditionalFormatting>
  <x:dataValidations count="6">
    <x:dataValidation type="list" sqref="F2:F456">
      <x:formula1>Lists!$A$2:$A$6</x:formula1>
    </x:dataValidation>
    <x:dataValidation type="list" sqref="J2:J456">
      <x:formula1>Lists!$B$2:$B$5</x:formula1>
    </x:dataValidation>
    <x:dataValidation type="list" sqref="F457:F464">
      <x:formula1>Lists!$A$2:$A$6</x:formula1>
    </x:dataValidation>
    <x:dataValidation type="list" sqref="J457:J464">
      <x:formula1>Lists!$B$2:$B$5</x:formula1>
    </x:dataValidation>
    <x:dataValidation type="list" sqref="F465:F467">
      <x:formula1>Lists!$A$2:$A$6</x:formula1>
    </x:dataValidation>
    <x:dataValidation type="list" sqref="J465:J467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105c2fef7a4c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24" hidden="0" customWidth="1"/>
    <x:col min="5" max="5" width="24" hidden="0" customWidth="1"/>
  </x:cols>
  <x:sheetData>
    <x:row r="1">
      <x:c r="A1" s="74" t="str">
        <x:v>GEM™ V3.0 — Brand Approval Dashboard</x:v>
      </x:c>
      <x:c r="B1" s="74"/>
      <x:c r="C1" s="74"/>
      <x:c r="D1" s="74"/>
      <x:c r="E1" s="74"/>
      <x:c r="F1" s="74"/>
      <x:c r="G1" s="74"/>
      <x:c r="H1" s="74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117" t="str">
        <x:v>Prefilled by ChatGPT from GEM V2/V2.1, GEM Design System v2.1, prior project decisions and best-practice review · 06 Oct 2026</x:v>
      </x:c>
      <x:c r="B2" s="117"/>
      <x:c r="C2" s="117"/>
      <x:c r="D2" s="117"/>
      <x:c r="E2" s="117"/>
      <x:c r="F2" s="74"/>
      <x:c r="G2" s="74"/>
      <x:c r="H2" s="74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A3" s="76" t="str">
        <x:v>Strategic decisions are prefilled on the user's behalf. Evidence-required and deferred items remain open release gates; AC20 must not be authorized until those gates are resolved.</x:v>
      </x:c>
      <x:c r="B3" s="76" t="str"/>
      <x:c r="C3" s="76" t="str"/>
      <x:c r="D3" s="76" t="str"/>
      <x:c r="E3" s="76" t="str"/>
      <x:c r="F3" s="76" t="str"/>
      <x:c r="G3" s="76" t="str"/>
      <x:c r="H3" s="76" t="str"/>
      <x:c r="I3" s="75"/>
      <x:c r="J3" s="75"/>
      <x:c r="K3" s="75"/>
      <x:c r="L3" s="75"/>
      <x:c r="M3" s="75"/>
      <x:c r="N3" s="75"/>
      <x:c r="O3" s="75"/>
      <x:c r="P3" s="75"/>
      <x:c r="Q3" s="75"/>
      <x:c r="R3" s="75"/>
      <x:c r="S3" s="75"/>
      <x:c r="T3" s="75"/>
      <x:c r="U3" s="75"/>
      <x:c r="V3" s="75"/>
      <x:c r="W3" s="75"/>
      <x:c r="X3" s="75"/>
      <x:c r="Y3" s="75"/>
      <x:c r="Z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24" customHeight="1">
      <x:c r="A5" s="77" t="str">
        <x:v>Total Decisions</x:v>
      </x:c>
      <x:c r="B5" s="78" t="n">
        <x:f>COUNTA('Approval Register'!A2:A467)</x:f>
        <x:v>466</x:v>
      </x:c>
      <x:c r="C5" s="75"/>
      <x:c r="D5" s="79" t="str">
        <x:v>Release-readiness checkpoints</x:v>
      </x:c>
      <x:c r="E5" s="79"/>
      <x:c r="F5" s="79"/>
      <x:c r="G5" s="79"/>
      <x:c r="H5" s="79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24" customHeight="1">
      <x:c r="A6" s="77" t="str">
        <x:v>Completed</x:v>
      </x:c>
      <x:c r="B6" s="78" t="n">
        <x:f>COUNTIF('Approval Register'!I2:I467,"Approved")+COUNTIF('Approval Register'!I2:I467,"Approved with modification")+COUNTIF('Approval Register'!I2:I467,"Rejected")+COUNTIF('Approval Register'!I2:I467,"Deferred")+COUNTIF('Approval Register'!I2:I467,"Evidence Required")</x:f>
        <x:v>466</x:v>
      </x:c>
      <x:c r="C6" s="75"/>
      <x:c r="D6" s="80" t="str">
        <x:v>Checkpoint</x:v>
      </x:c>
      <x:c r="E6" s="80" t="str">
        <x:v>Readiness</x:v>
      </x:c>
      <x:c r="F6" s="75"/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24" customHeight="1">
      <x:c r="A7" s="77" t="str">
        <x:v>Approved</x:v>
      </x:c>
      <x:c r="B7" s="78" t="n">
        <x:f>COUNTIF('Approval Register'!I2:I467,"Approved")</x:f>
        <x:v>384</x:v>
      </x:c>
      <x:c r="C7" s="75"/>
      <x:c r="D7" s="81" t="str">
        <x:v>Core strategy / architecture</x:v>
      </x:c>
      <x:c r="E7" s="81" t="str">
        <x:f>IF(COUNTIFS('Approval Register'!J:J,"Critical",'Approval Register'!I:I,"Pending")+COUNTIFS('Approval Register'!J:J,"Critical",'Approval Register'!I:I,"Action Required")=0,"Ready","Open")</x:f>
        <x:v>Ready</x:v>
      </x:c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24" customHeight="1">
      <x:c r="A8" s="77" t="str">
        <x:v>Approved w/ Modification</x:v>
      </x:c>
      <x:c r="B8" s="78" t="n">
        <x:f>COUNTIF('Approval Register'!I2:I467,"Approved with modification")</x:f>
        <x:v>72</x:v>
      </x:c>
      <x:c r="C8" s="75"/>
      <x:c r="D8" s="81" t="str">
        <x:v>Evidence / validation</x:v>
      </x:c>
      <x:c r="E8" s="81" t="str">
        <x:f>IF(COUNTIF('Approval Register'!I:I,"Evidence Required")=0,"Ready","Open")</x:f>
        <x:v>Open</x:v>
      </x:c>
      <x:c r="F8" s="75"/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24" customHeight="1">
      <x:c r="A9" s="77" t="str">
        <x:v>Evidence Required</x:v>
      </x:c>
      <x:c r="B9" s="78" t="n">
        <x:f>COUNTIF('Approval Register'!I2:I467,"Evidence Required")</x:f>
        <x:v>8</x:v>
      </x:c>
      <x:c r="C9" s="75"/>
      <x:c r="D9" s="81" t="str">
        <x:v>Final sign-off</x:v>
      </x:c>
      <x:c r="E9" s="81" t="str">
        <x:f>IF(COUNTIF('Approval Register'!A:A,"AC20")=1,IF(INDEX('Approval Register'!I:I,MATCH("AC20",'Approval Register'!A:A,0))="Approved","Ready","Open"),"Open")</x:f>
        <x:v>Open</x:v>
      </x:c>
      <x:c r="F9" s="75"/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24" customHeight="1">
      <x:c r="A10" s="77" t="str">
        <x:v>Deferred</x:v>
      </x:c>
      <x:c r="B10" s="78" t="n">
        <x:f>COUNTIF('Approval Register'!I2:I467,"Deferred")</x:f>
        <x:v>2</x:v>
      </x:c>
      <x:c r="C10" s="75"/>
      <x:c r="D10" s="81" t="str">
        <x:v>Reference governance</x:v>
      </x:c>
      <x:c r="E10" s="81" t="str">
        <x:f>IF(COUNTIFS('Approval Register'!A:A,"RF01",'Approval Register'!I:I,"Approved")=1,"Ready","Open")</x:f>
        <x:v>Ready</x:v>
      </x:c>
      <x:c r="F10" s="75"/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24" customHeight="1">
      <x:c r="A11" s="77" t="str">
        <x:v>Rejected</x:v>
      </x:c>
      <x:c r="B11" s="78" t="n">
        <x:f>COUNTIF('Approval Register'!I2:I467,"Rejected")</x:f>
        <x:v>0</x:v>
      </x:c>
      <x:c r="C11" s="75"/>
      <x:c r="D11" s="81" t="str">
        <x:v>Overall</x:v>
      </x:c>
      <x:c r="E11" s="81" t="str">
        <x:f>IF(AND(E7="Ready",E8="Ready",E9="Ready",E10="Ready"),"Candidate for V3.0 build","Not ready")</x:f>
        <x:v>Not ready</x:v>
      </x:c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24" customHeight="1">
      <x:c r="A12" s="77" t="str">
        <x:v>Pending / Action Required</x:v>
      </x:c>
      <x:c r="B12" s="78" t="n">
        <x:f>COUNTIF('Approval Register'!I2:I467,"Pending")+COUNTIF('Approval Register'!I2:I467,"Action Required")</x:f>
        <x:v>0</x:v>
      </x:c>
      <x:c r="C12" s="75"/>
      <x:c r="D12" s="75"/>
      <x:c r="E12" s="75"/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24" customHeight="1">
      <x:c r="A13" s="77" t="str">
        <x:v>Completion %</x:v>
      </x:c>
      <x:c r="B13" s="82" t="n">
        <x:f>IF(B5=0,0,B6/B5)</x:f>
        <x:v>1</x:v>
      </x:c>
      <x:c r="C13" s="75"/>
      <x:c r="D13" s="75"/>
      <x:c r="E13" s="75"/>
      <x:c r="F13" s="75"/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A14" s="75"/>
      <x:c r="B14" s="75"/>
      <x:c r="C14" s="75"/>
      <x:c r="D14" s="75"/>
      <x:c r="E14" s="75"/>
      <x:c r="F14" s="75"/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A15" s="75"/>
      <x:c r="B15" s="75"/>
      <x:c r="C15" s="75"/>
      <x:c r="D15" s="75"/>
      <x:c r="E15" s="75"/>
      <x:c r="F15" s="75"/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A16" s="83" t="str">
        <x:v>Status</x:v>
      </x:c>
      <x:c r="B16" s="83" t="str">
        <x:v>Count</x:v>
      </x:c>
      <x:c r="C16" s="75"/>
      <x:c r="D16" s="75"/>
      <x:c r="E16" s="75"/>
      <x:c r="F16" s="75"/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A17" s="75" t="str">
        <x:v>Approved</x:v>
      </x:c>
      <x:c r="B17" s="75" t="n">
        <x:f>COUNTIF('Approval Register'!I2:I467,"Approved")</x:f>
        <x:v>384</x:v>
      </x:c>
      <x:c r="C17" s="75"/>
      <x:c r="D17" s="75"/>
      <x:c r="E17" s="75"/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A18" s="75" t="str">
        <x:v>Approved with modification</x:v>
      </x:c>
      <x:c r="B18" s="75" t="n">
        <x:f>COUNTIF('Approval Register'!I2:I467,"Approved with modification")</x:f>
        <x:v>72</x:v>
      </x:c>
      <x:c r="C18" s="75"/>
      <x:c r="D18" s="75"/>
      <x:c r="E18" s="75"/>
      <x:c r="F18" s="75"/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A19" s="75" t="str">
        <x:v>Evidence Required</x:v>
      </x:c>
      <x:c r="B19" s="75" t="n">
        <x:f>COUNTIF('Approval Register'!I2:I467,"Evidence Required")</x:f>
        <x:v>8</x:v>
      </x:c>
      <x:c r="C19" s="75"/>
      <x:c r="D19" s="75"/>
      <x:c r="E19" s="75"/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A20" s="75" t="str">
        <x:v>Deferred</x:v>
      </x:c>
      <x:c r="B20" s="75" t="n">
        <x:f>COUNTIF('Approval Register'!I2:I467,"Deferred")</x:f>
        <x:v>2</x:v>
      </x:c>
      <x:c r="C20" s="75"/>
      <x:c r="D20" s="75"/>
      <x:c r="E20" s="75"/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A21" s="75" t="str">
        <x:v>Pending / Action Required</x:v>
      </x:c>
      <x:c r="B21" s="75" t="n">
        <x:f>COUNTIF('Approval Register'!I2:I467,"Pending")+COUNTIF('Approval Register'!I2:I467,"Action Required")</x:f>
        <x:v>0</x:v>
      </x:c>
      <x:c r="C21" s="75"/>
      <x:c r="D21" s="75"/>
      <x:c r="E21" s="75"/>
      <x:c r="F21" s="75"/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A22" s="75"/>
      <x:c r="B22" s="75"/>
      <x:c r="C22" s="75"/>
      <x:c r="D22" s="75"/>
      <x:c r="E22" s="75"/>
      <x:c r="F22" s="75"/>
      <x:c r="G22" s="75"/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A23" s="75"/>
      <x:c r="B23" s="75"/>
      <x:c r="C23" s="75"/>
      <x:c r="D23" s="75"/>
      <x:c r="E23" s="75"/>
      <x:c r="F23" s="75"/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A24" s="75"/>
      <x:c r="B24" s="75"/>
      <x:c r="C24" s="75"/>
      <x:c r="D24" s="75"/>
      <x:c r="E24" s="75"/>
      <x:c r="F24" s="75"/>
      <x:c r="G24" s="75"/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A25" s="75"/>
      <x:c r="B25" s="75"/>
      <x:c r="C25" s="75"/>
      <x:c r="D25" s="75"/>
      <x:c r="E25" s="75"/>
      <x:c r="F25" s="75"/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A26" s="75"/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A27" s="75"/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A30" s="75"/>
      <x:c r="B30" s="75"/>
      <x:c r="C30" s="75"/>
      <x:c r="D30" s="75"/>
      <x:c r="E30" s="75"/>
      <x:c r="F30" s="75"/>
      <x:c r="G30" s="75"/>
      <x:c r="H30" s="75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A66" s="75"/>
      <x:c r="B66" s="75"/>
      <x:c r="C66" s="75"/>
      <x:c r="D66" s="75"/>
      <x:c r="E66" s="75"/>
      <x:c r="F66" s="75"/>
      <x:c r="G66" s="75"/>
      <x:c r="H66" s="75"/>
      <x:c r="I66" s="75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A67" s="75"/>
      <x:c r="B67" s="75"/>
      <x:c r="C67" s="75"/>
      <x:c r="D67" s="75"/>
      <x:c r="E67" s="75"/>
      <x:c r="F67" s="75"/>
      <x:c r="G67" s="75"/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A68" s="75"/>
      <x:c r="B68" s="75"/>
      <x:c r="C68" s="75"/>
      <x:c r="D68" s="75"/>
      <x:c r="E68" s="75"/>
      <x:c r="F68" s="75"/>
      <x:c r="G68" s="75"/>
      <x:c r="H68" s="75"/>
      <x:c r="I68" s="75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A69" s="75"/>
      <x:c r="B69" s="75"/>
      <x:c r="C69" s="75"/>
      <x:c r="D69" s="75"/>
      <x:c r="E69" s="75"/>
      <x:c r="F69" s="75"/>
      <x:c r="G69" s="75"/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A70" s="75"/>
      <x:c r="B70" s="75"/>
      <x:c r="C70" s="75"/>
      <x:c r="D70" s="75"/>
      <x:c r="E70" s="75"/>
      <x:c r="F70" s="75"/>
      <x:c r="G70" s="75"/>
      <x:c r="H70" s="75"/>
      <x:c r="I70" s="75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A71" s="75"/>
      <x:c r="B71" s="75"/>
      <x:c r="C71" s="75"/>
      <x:c r="D71" s="75"/>
      <x:c r="E71" s="75"/>
      <x:c r="F71" s="75"/>
      <x:c r="G71" s="75"/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A72" s="75"/>
      <x:c r="B72" s="75"/>
      <x:c r="C72" s="75"/>
      <x:c r="D72" s="75"/>
      <x:c r="E72" s="75"/>
      <x:c r="F72" s="75"/>
      <x:c r="G72" s="75"/>
      <x:c r="H72" s="75"/>
      <x:c r="I72" s="75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A73" s="75"/>
      <x:c r="B73" s="75"/>
      <x:c r="C73" s="75"/>
      <x:c r="D73" s="75"/>
      <x:c r="E73" s="75"/>
      <x:c r="F73" s="75"/>
      <x:c r="G73" s="75"/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A74" s="75"/>
      <x:c r="B74" s="75"/>
      <x:c r="C74" s="75"/>
      <x:c r="D74" s="75"/>
      <x:c r="E74" s="75"/>
      <x:c r="F74" s="75"/>
      <x:c r="G74" s="75"/>
      <x:c r="H74" s="75"/>
      <x:c r="I74" s="75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A75" s="75"/>
      <x:c r="B75" s="75"/>
      <x:c r="C75" s="75"/>
      <x:c r="D75" s="75"/>
      <x:c r="E75" s="75"/>
      <x:c r="F75" s="75"/>
      <x:c r="G75" s="75"/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A76" s="75"/>
      <x:c r="B76" s="75"/>
      <x:c r="C76" s="75"/>
      <x:c r="D76" s="75"/>
      <x:c r="E76" s="75"/>
      <x:c r="F76" s="75"/>
      <x:c r="G76" s="75"/>
      <x:c r="H76" s="75"/>
      <x:c r="I76" s="75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A77" s="75"/>
      <x:c r="B77" s="75"/>
      <x:c r="C77" s="75"/>
      <x:c r="D77" s="75"/>
      <x:c r="E77" s="75"/>
      <x:c r="F77" s="75"/>
      <x:c r="G77" s="75"/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A78" s="75"/>
      <x:c r="B78" s="75"/>
      <x:c r="C78" s="75"/>
      <x:c r="D78" s="75"/>
      <x:c r="E78" s="75"/>
      <x:c r="F78" s="75"/>
      <x:c r="G78" s="75"/>
      <x:c r="H78" s="75"/>
      <x:c r="I78" s="75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A79" s="75"/>
      <x:c r="B79" s="75"/>
      <x:c r="C79" s="75"/>
      <x:c r="D79" s="75"/>
      <x:c r="E79" s="75"/>
      <x:c r="F79" s="75"/>
      <x:c r="G79" s="75"/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A80" s="75"/>
      <x:c r="B80" s="75"/>
      <x:c r="C80" s="75"/>
      <x:c r="D80" s="75"/>
      <x:c r="E80" s="75"/>
      <x:c r="F80" s="75"/>
      <x:c r="G80" s="75"/>
      <x:c r="H80" s="75"/>
      <x:c r="I80" s="75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A81" s="75"/>
      <x:c r="B81" s="75"/>
      <x:c r="C81" s="75"/>
      <x:c r="D81" s="75"/>
      <x:c r="E81" s="75"/>
      <x:c r="F81" s="75"/>
      <x:c r="G81" s="75"/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A82" s="75"/>
      <x:c r="B82" s="75"/>
      <x:c r="C82" s="75"/>
      <x:c r="D82" s="75"/>
      <x:c r="E82" s="75"/>
      <x:c r="F82" s="75"/>
      <x:c r="G82" s="75"/>
      <x:c r="H82" s="75"/>
      <x:c r="I82" s="75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A83" s="75"/>
      <x:c r="B83" s="75"/>
      <x:c r="C83" s="75"/>
      <x:c r="D83" s="75"/>
      <x:c r="E83" s="75"/>
      <x:c r="F83" s="75"/>
      <x:c r="G83" s="75"/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A84" s="75"/>
      <x:c r="B84" s="75"/>
      <x:c r="C84" s="75"/>
      <x:c r="D84" s="75"/>
      <x:c r="E84" s="75"/>
      <x:c r="F84" s="75"/>
      <x:c r="G84" s="75"/>
      <x:c r="H84" s="75"/>
      <x:c r="I84" s="75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A85" s="75"/>
      <x:c r="B85" s="75"/>
      <x:c r="C85" s="75"/>
      <x:c r="D85" s="75"/>
      <x:c r="E85" s="75"/>
      <x:c r="F85" s="75"/>
      <x:c r="G85" s="75"/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A86" s="75"/>
      <x:c r="B86" s="75"/>
      <x:c r="C86" s="75"/>
      <x:c r="D86" s="75"/>
      <x:c r="E86" s="75"/>
      <x:c r="F86" s="75"/>
      <x:c r="G86" s="75"/>
      <x:c r="H86" s="75"/>
      <x:c r="I86" s="75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A87" s="75"/>
      <x:c r="B87" s="75"/>
      <x:c r="C87" s="75"/>
      <x:c r="D87" s="75"/>
      <x:c r="E87" s="75"/>
      <x:c r="F87" s="75"/>
      <x:c r="G87" s="75"/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A88" s="75"/>
      <x:c r="B88" s="75"/>
      <x:c r="C88" s="75"/>
      <x:c r="D88" s="75"/>
      <x:c r="E88" s="75"/>
      <x:c r="F88" s="75"/>
      <x:c r="G88" s="75"/>
      <x:c r="H88" s="75"/>
      <x:c r="I88" s="75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A89" s="75"/>
      <x:c r="B89" s="75"/>
      <x:c r="C89" s="75"/>
      <x:c r="D89" s="75"/>
      <x:c r="E89" s="75"/>
      <x:c r="F89" s="75"/>
      <x:c r="G89" s="75"/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A90" s="75"/>
      <x:c r="B90" s="75"/>
      <x:c r="C90" s="75"/>
      <x:c r="D90" s="75"/>
      <x:c r="E90" s="75"/>
      <x:c r="F90" s="75"/>
      <x:c r="G90" s="75"/>
      <x:c r="H90" s="75"/>
      <x:c r="I90" s="75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A91" s="75"/>
      <x:c r="B91" s="75"/>
      <x:c r="C91" s="75"/>
      <x:c r="D91" s="75"/>
      <x:c r="E91" s="75"/>
      <x:c r="F91" s="75"/>
      <x:c r="G91" s="75"/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A92" s="75"/>
      <x:c r="B92" s="75"/>
      <x:c r="C92" s="75"/>
      <x:c r="D92" s="75"/>
      <x:c r="E92" s="75"/>
      <x:c r="F92" s="75"/>
      <x:c r="G92" s="75"/>
      <x:c r="H92" s="75"/>
      <x:c r="I92" s="75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A93" s="75"/>
      <x:c r="B93" s="75"/>
      <x:c r="C93" s="75"/>
      <x:c r="D93" s="75"/>
      <x:c r="E93" s="75"/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A94" s="75"/>
      <x:c r="B94" s="75"/>
      <x:c r="C94" s="75"/>
      <x:c r="D94" s="75"/>
      <x:c r="E94" s="75"/>
      <x:c r="F94" s="75"/>
      <x:c r="G94" s="75"/>
      <x:c r="H94" s="75"/>
      <x:c r="I94" s="75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A95" s="75"/>
      <x:c r="B95" s="75"/>
      <x:c r="C95" s="75"/>
      <x:c r="D95" s="75"/>
      <x:c r="E95" s="75"/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A96" s="75"/>
      <x:c r="B96" s="75"/>
      <x:c r="C96" s="75"/>
      <x:c r="D96" s="75"/>
      <x:c r="E96" s="75"/>
      <x:c r="F96" s="75"/>
      <x:c r="G96" s="75"/>
      <x:c r="H96" s="75"/>
      <x:c r="I96" s="75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A97" s="75"/>
      <x:c r="B97" s="75"/>
      <x:c r="C97" s="75"/>
      <x:c r="D97" s="75"/>
      <x:c r="E97" s="75"/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A98" s="75"/>
      <x:c r="B98" s="75"/>
      <x:c r="C98" s="75"/>
      <x:c r="D98" s="75"/>
      <x:c r="E98" s="75"/>
      <x:c r="F98" s="75"/>
      <x:c r="G98" s="75"/>
      <x:c r="H98" s="75"/>
      <x:c r="I98" s="75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A99" s="75"/>
      <x:c r="B99" s="75"/>
      <x:c r="C99" s="75"/>
      <x:c r="D99" s="75"/>
      <x:c r="E99" s="75"/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A100" s="75"/>
      <x:c r="B100" s="75"/>
      <x:c r="C100" s="75"/>
      <x:c r="D100" s="75"/>
      <x:c r="E100" s="75"/>
      <x:c r="F100" s="75"/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A101" s="75"/>
      <x:c r="B101" s="75"/>
      <x:c r="C101" s="75"/>
      <x:c r="D101" s="75"/>
      <x:c r="E101" s="75"/>
      <x:c r="F101" s="75"/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A102" s="75"/>
      <x:c r="B102" s="75"/>
      <x:c r="C102" s="75"/>
      <x:c r="D102" s="75"/>
      <x:c r="E102" s="75"/>
      <x:c r="F102" s="75"/>
      <x:c r="G102" s="75"/>
      <x:c r="H102" s="75"/>
      <x:c r="I102" s="75"/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A103" s="75"/>
      <x:c r="B103" s="75"/>
      <x:c r="C103" s="75"/>
      <x:c r="D103" s="75"/>
      <x:c r="E103" s="75"/>
      <x:c r="F103" s="75"/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A104" s="75"/>
      <x:c r="B104" s="75"/>
      <x:c r="C104" s="75"/>
      <x:c r="D104" s="75"/>
      <x:c r="E104" s="75"/>
      <x:c r="F104" s="75"/>
      <x:c r="G104" s="75"/>
      <x:c r="H104" s="75"/>
      <x:c r="I104" s="75"/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A105" s="75"/>
      <x:c r="B105" s="75"/>
      <x:c r="C105" s="75"/>
      <x:c r="D105" s="75"/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A106" s="75"/>
      <x:c r="B106" s="75"/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A107" s="75"/>
      <x:c r="B107" s="75"/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A108" s="75"/>
      <x:c r="B108" s="75"/>
      <x:c r="C108" s="75"/>
      <x:c r="D108" s="75"/>
      <x:c r="E108" s="75"/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A109" s="75"/>
      <x:c r="B109" s="75"/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A110" s="75"/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A111" s="75"/>
      <x:c r="B111" s="75"/>
      <x:c r="C111" s="75"/>
      <x:c r="D111" s="75"/>
      <x:c r="E111" s="75"/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A112" s="75"/>
      <x:c r="B112" s="75"/>
      <x:c r="C112" s="75"/>
      <x:c r="D112" s="75"/>
      <x:c r="E112" s="75"/>
      <x:c r="F112" s="75"/>
      <x:c r="G112" s="75"/>
      <x:c r="H112" s="75"/>
      <x:c r="I112" s="75"/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A113" s="75"/>
      <x:c r="B113" s="75"/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A114" s="75"/>
      <x:c r="B114" s="75"/>
      <x:c r="C114" s="75"/>
      <x:c r="D114" s="75"/>
      <x:c r="E114" s="75"/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A115" s="75"/>
      <x:c r="B115" s="75"/>
      <x:c r="C115" s="75"/>
      <x:c r="D115" s="75"/>
      <x:c r="E115" s="75"/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A116" s="75"/>
      <x:c r="B116" s="75"/>
      <x:c r="C116" s="75"/>
      <x:c r="D116" s="75"/>
      <x:c r="E116" s="75"/>
      <x:c r="F116" s="75"/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A117" s="75"/>
      <x:c r="B117" s="75"/>
      <x:c r="C117" s="75"/>
      <x:c r="D117" s="75"/>
      <x:c r="E117" s="75"/>
      <x:c r="F117" s="75"/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A118" s="75"/>
      <x:c r="B118" s="75"/>
      <x:c r="C118" s="75"/>
      <x:c r="D118" s="75"/>
      <x:c r="E118" s="75"/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A119" s="75"/>
      <x:c r="B119" s="75"/>
      <x:c r="C119" s="75"/>
      <x:c r="D119" s="75"/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A120" s="75"/>
      <x:c r="B120" s="75"/>
      <x:c r="C120" s="75"/>
      <x:c r="D120" s="75"/>
      <x:c r="E120" s="75"/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A121" s="75"/>
      <x:c r="B121" s="75"/>
      <x:c r="C121" s="75"/>
      <x:c r="D121" s="75"/>
      <x:c r="E121" s="75"/>
      <x:c r="F121" s="75"/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A122" s="75"/>
      <x:c r="B122" s="75"/>
      <x:c r="C122" s="75"/>
      <x:c r="D122" s="75"/>
      <x:c r="E122" s="75"/>
      <x:c r="F122" s="75"/>
      <x:c r="G122" s="75"/>
      <x:c r="H122" s="75"/>
      <x:c r="I122" s="75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A123" s="75"/>
      <x:c r="B123" s="75"/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A124" s="75"/>
      <x:c r="B124" s="75"/>
      <x:c r="C124" s="75"/>
      <x:c r="D124" s="75"/>
      <x:c r="E124" s="75"/>
      <x:c r="F124" s="75"/>
      <x:c r="G124" s="75"/>
      <x:c r="H124" s="75"/>
      <x:c r="I124" s="75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A125" s="75"/>
      <x:c r="B125" s="75"/>
      <x:c r="C125" s="75"/>
      <x:c r="D125" s="75"/>
      <x:c r="E125" s="75"/>
      <x:c r="F125" s="75"/>
      <x:c r="G125" s="75"/>
      <x:c r="H125" s="75"/>
      <x:c r="I125" s="75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A126" s="75"/>
      <x:c r="B126" s="75"/>
      <x:c r="C126" s="75"/>
      <x:c r="D126" s="75"/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A127" s="75"/>
      <x:c r="B127" s="75"/>
      <x:c r="C127" s="75"/>
      <x:c r="D127" s="75"/>
      <x:c r="E127" s="75"/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A128" s="75"/>
      <x:c r="B128" s="75"/>
      <x:c r="C128" s="75"/>
      <x:c r="D128" s="75"/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A129" s="75"/>
      <x:c r="B129" s="75"/>
      <x:c r="C129" s="75"/>
      <x:c r="D129" s="75"/>
      <x:c r="E129" s="75"/>
      <x:c r="F129" s="75"/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A130" s="75"/>
      <x:c r="B130" s="75"/>
      <x:c r="C130" s="75"/>
      <x:c r="D130" s="75"/>
      <x:c r="E130" s="75"/>
      <x:c r="F130" s="75"/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A131" s="75"/>
      <x:c r="B131" s="75"/>
      <x:c r="C131" s="75"/>
      <x:c r="D131" s="75"/>
      <x:c r="E131" s="75"/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A132" s="75"/>
      <x:c r="B132" s="75"/>
      <x:c r="C132" s="75"/>
      <x:c r="D132" s="75"/>
      <x:c r="E132" s="75"/>
      <x:c r="F132" s="75"/>
      <x:c r="G132" s="75"/>
      <x:c r="H132" s="75"/>
      <x:c r="I132" s="75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A133" s="75"/>
      <x:c r="B133" s="75"/>
      <x:c r="C133" s="75"/>
      <x:c r="D133" s="75"/>
      <x:c r="E133" s="75"/>
      <x:c r="F133" s="75"/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A134" s="75"/>
      <x:c r="B134" s="75"/>
      <x:c r="C134" s="75"/>
      <x:c r="D134" s="75"/>
      <x:c r="E134" s="75"/>
      <x:c r="F134" s="75"/>
      <x:c r="G134" s="75"/>
      <x:c r="H134" s="75"/>
      <x:c r="I134" s="75"/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A135" s="75"/>
      <x:c r="B135" s="75"/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A136" s="75"/>
      <x:c r="B136" s="75"/>
      <x:c r="C136" s="75"/>
      <x:c r="D136" s="75"/>
      <x:c r="E136" s="75"/>
      <x:c r="F136" s="75"/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A137" s="75"/>
      <x:c r="B137" s="75"/>
      <x:c r="C137" s="75"/>
      <x:c r="D137" s="75"/>
      <x:c r="E137" s="75"/>
      <x:c r="F137" s="75"/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A138" s="75"/>
      <x:c r="B138" s="75"/>
      <x:c r="C138" s="75"/>
      <x:c r="D138" s="75"/>
      <x:c r="E138" s="75"/>
      <x:c r="F138" s="75"/>
      <x:c r="G138" s="75"/>
      <x:c r="H138" s="75"/>
      <x:c r="I138" s="75"/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A139" s="75"/>
      <x:c r="B139" s="75"/>
      <x:c r="C139" s="75"/>
      <x:c r="D139" s="75"/>
      <x:c r="E139" s="75"/>
      <x:c r="F139" s="75"/>
      <x:c r="G139" s="75"/>
      <x:c r="H139" s="75"/>
      <x:c r="I139" s="75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A140" s="75"/>
      <x:c r="B140" s="75"/>
      <x:c r="C140" s="75"/>
      <x:c r="D140" s="75"/>
      <x:c r="E140" s="75"/>
      <x:c r="F140" s="75"/>
      <x:c r="G140" s="75"/>
      <x:c r="H140" s="75"/>
      <x:c r="I140" s="75"/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A141" s="75"/>
      <x:c r="B141" s="75"/>
      <x:c r="C141" s="75"/>
      <x:c r="D141" s="75"/>
      <x:c r="E141" s="75"/>
      <x:c r="F141" s="75"/>
      <x:c r="G141" s="75"/>
      <x:c r="H141" s="75"/>
      <x:c r="I141" s="75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A142" s="75"/>
      <x:c r="B142" s="75"/>
      <x:c r="C142" s="75"/>
      <x:c r="D142" s="75"/>
      <x:c r="E142" s="75"/>
      <x:c r="F142" s="75"/>
      <x:c r="G142" s="75"/>
      <x:c r="H142" s="75"/>
      <x:c r="I142" s="75"/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A143" s="75"/>
      <x:c r="B143" s="75"/>
      <x:c r="C143" s="75"/>
      <x:c r="D143" s="75"/>
      <x:c r="E143" s="75"/>
      <x:c r="F143" s="75"/>
      <x:c r="G143" s="75"/>
      <x:c r="H143" s="75"/>
      <x:c r="I143" s="75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A144" s="75"/>
      <x:c r="B144" s="75"/>
      <x:c r="C144" s="75"/>
      <x:c r="D144" s="75"/>
      <x:c r="E144" s="75"/>
      <x:c r="F144" s="75"/>
      <x:c r="G144" s="75"/>
      <x:c r="H144" s="75"/>
      <x:c r="I144" s="75"/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A145" s="75"/>
      <x:c r="B145" s="75"/>
      <x:c r="C145" s="75"/>
      <x:c r="D145" s="75"/>
      <x:c r="E145" s="75"/>
      <x:c r="F145" s="75"/>
      <x:c r="G145" s="75"/>
      <x:c r="H145" s="75"/>
      <x:c r="I145" s="75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A146" s="75"/>
      <x:c r="B146" s="75"/>
      <x:c r="C146" s="75"/>
      <x:c r="D146" s="75"/>
      <x:c r="E146" s="75"/>
      <x:c r="F146" s="75"/>
      <x:c r="G146" s="75"/>
      <x:c r="H146" s="75"/>
      <x:c r="I146" s="75"/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A147" s="75"/>
      <x:c r="B147" s="75"/>
      <x:c r="C147" s="75"/>
      <x:c r="D147" s="75"/>
      <x:c r="E147" s="75"/>
      <x:c r="F147" s="75"/>
      <x:c r="G147" s="75"/>
      <x:c r="H147" s="75"/>
      <x:c r="I147" s="75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A148" s="75"/>
      <x:c r="B148" s="75"/>
      <x:c r="C148" s="75"/>
      <x:c r="D148" s="75"/>
      <x:c r="E148" s="75"/>
      <x:c r="F148" s="75"/>
      <x:c r="G148" s="75"/>
      <x:c r="H148" s="75"/>
      <x:c r="I148" s="75"/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A149" s="75"/>
      <x:c r="B149" s="75"/>
      <x:c r="C149" s="75"/>
      <x:c r="D149" s="75"/>
      <x:c r="E149" s="75"/>
      <x:c r="F149" s="75"/>
      <x:c r="G149" s="75"/>
      <x:c r="H149" s="75"/>
      <x:c r="I149" s="75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A150" s="75"/>
      <x:c r="B150" s="75"/>
      <x:c r="C150" s="75"/>
      <x:c r="D150" s="75"/>
      <x:c r="E150" s="75"/>
      <x:c r="F150" s="75"/>
      <x:c r="G150" s="75"/>
      <x:c r="H150" s="75"/>
      <x:c r="I150" s="75"/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A151" s="75"/>
      <x:c r="B151" s="75"/>
      <x:c r="C151" s="75"/>
      <x:c r="D151" s="75"/>
      <x:c r="E151" s="75"/>
      <x:c r="F151" s="75"/>
      <x:c r="G151" s="75"/>
      <x:c r="H151" s="75"/>
      <x:c r="I151" s="75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A152" s="75"/>
      <x:c r="B152" s="75"/>
      <x:c r="C152" s="75"/>
      <x:c r="D152" s="75"/>
      <x:c r="E152" s="75"/>
      <x:c r="F152" s="75"/>
      <x:c r="G152" s="75"/>
      <x:c r="H152" s="75"/>
      <x:c r="I152" s="75"/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A153" s="75"/>
      <x:c r="B153" s="75"/>
      <x:c r="C153" s="75"/>
      <x:c r="D153" s="75"/>
      <x:c r="E153" s="75"/>
      <x:c r="F153" s="75"/>
      <x:c r="G153" s="75"/>
      <x:c r="H153" s="75"/>
      <x:c r="I153" s="75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A154" s="75"/>
      <x:c r="B154" s="75"/>
      <x:c r="C154" s="75"/>
      <x:c r="D154" s="75"/>
      <x:c r="E154" s="75"/>
      <x:c r="F154" s="75"/>
      <x:c r="G154" s="75"/>
      <x:c r="H154" s="75"/>
      <x:c r="I154" s="75"/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A155" s="75"/>
      <x:c r="B155" s="75"/>
      <x:c r="C155" s="75"/>
      <x:c r="D155" s="75"/>
      <x:c r="E155" s="75"/>
      <x:c r="F155" s="75"/>
      <x:c r="G155" s="75"/>
      <x:c r="H155" s="75"/>
      <x:c r="I155" s="75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  <x:row r="156">
      <x:c r="A156" s="75"/>
      <x:c r="B156" s="75"/>
      <x:c r="C156" s="75"/>
      <x:c r="D156" s="75"/>
      <x:c r="E156" s="75"/>
      <x:c r="F156" s="75"/>
      <x:c r="G156" s="75"/>
      <x:c r="H156" s="75"/>
      <x:c r="I156" s="75"/>
      <x:c r="J156" s="75"/>
      <x:c r="K156" s="75"/>
      <x:c r="L156" s="75"/>
      <x:c r="M156" s="75"/>
      <x:c r="N156" s="75"/>
      <x:c r="O156" s="75"/>
      <x:c r="P156" s="75"/>
      <x:c r="Q156" s="75"/>
      <x:c r="R156" s="75"/>
      <x:c r="S156" s="75"/>
      <x:c r="T156" s="75"/>
      <x:c r="U156" s="75"/>
      <x:c r="V156" s="75"/>
      <x:c r="W156" s="75"/>
      <x:c r="X156" s="75"/>
      <x:c r="Y156" s="75"/>
      <x:c r="Z156" s="75"/>
    </x:row>
    <x:row r="157">
      <x:c r="A157" s="75"/>
      <x:c r="B157" s="75"/>
      <x:c r="C157" s="75"/>
      <x:c r="D157" s="75"/>
      <x:c r="E157" s="75"/>
      <x:c r="F157" s="75"/>
      <x:c r="G157" s="75"/>
      <x:c r="H157" s="75"/>
      <x:c r="I157" s="75"/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</x:row>
    <x:row r="158">
      <x:c r="A158" s="75"/>
      <x:c r="B158" s="75"/>
      <x:c r="C158" s="75"/>
      <x:c r="D158" s="75"/>
      <x:c r="E158" s="75"/>
      <x:c r="F158" s="75"/>
      <x:c r="G158" s="75"/>
      <x:c r="H158" s="75"/>
      <x:c r="I158" s="75"/>
      <x:c r="J158" s="75"/>
      <x:c r="K158" s="75"/>
      <x:c r="L158" s="75"/>
      <x:c r="M158" s="75"/>
      <x:c r="N158" s="75"/>
      <x:c r="O158" s="75"/>
      <x:c r="P158" s="75"/>
      <x:c r="Q158" s="75"/>
      <x:c r="R158" s="75"/>
      <x:c r="S158" s="75"/>
      <x:c r="T158" s="75"/>
      <x:c r="U158" s="75"/>
      <x:c r="V158" s="75"/>
      <x:c r="W158" s="75"/>
      <x:c r="X158" s="75"/>
      <x:c r="Y158" s="75"/>
      <x:c r="Z158" s="75"/>
    </x:row>
    <x:row r="159">
      <x:c r="A159" s="75"/>
      <x:c r="B159" s="75"/>
      <x:c r="C159" s="75"/>
      <x:c r="D159" s="75"/>
      <x:c r="E159" s="75"/>
      <x:c r="F159" s="75"/>
      <x:c r="G159" s="75"/>
      <x:c r="H159" s="75"/>
      <x:c r="I159" s="75"/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</x:row>
    <x:row r="160">
      <x:c r="A160" s="75"/>
      <x:c r="B160" s="75"/>
      <x:c r="C160" s="75"/>
      <x:c r="D160" s="75"/>
      <x:c r="E160" s="75"/>
      <x:c r="F160" s="75"/>
      <x:c r="G160" s="75"/>
      <x:c r="H160" s="75"/>
      <x:c r="I160" s="75"/>
      <x:c r="J160" s="75"/>
      <x:c r="K160" s="75"/>
      <x:c r="L160" s="75"/>
      <x:c r="M160" s="75"/>
      <x:c r="N160" s="75"/>
      <x:c r="O160" s="75"/>
      <x:c r="P160" s="75"/>
      <x:c r="Q160" s="75"/>
      <x:c r="R160" s="75"/>
      <x:c r="S160" s="75"/>
      <x:c r="T160" s="75"/>
      <x:c r="U160" s="75"/>
      <x:c r="V160" s="75"/>
      <x:c r="W160" s="75"/>
      <x:c r="X160" s="75"/>
      <x:c r="Y160" s="75"/>
      <x:c r="Z160" s="75"/>
    </x:row>
    <x:row r="161">
      <x:c r="A161" s="75"/>
      <x:c r="B161" s="75"/>
      <x:c r="C161" s="75"/>
      <x:c r="D161" s="75"/>
      <x:c r="E161" s="75"/>
      <x:c r="F161" s="75"/>
      <x:c r="G161" s="75"/>
      <x:c r="H161" s="75"/>
      <x:c r="I161" s="75"/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</x:row>
    <x:row r="162">
      <x:c r="A162" s="75"/>
      <x:c r="B162" s="75"/>
      <x:c r="C162" s="75"/>
      <x:c r="D162" s="75"/>
      <x:c r="E162" s="75"/>
      <x:c r="F162" s="75"/>
      <x:c r="G162" s="75"/>
      <x:c r="H162" s="75"/>
      <x:c r="I162" s="75"/>
      <x:c r="J162" s="75"/>
      <x:c r="K162" s="75"/>
      <x:c r="L162" s="75"/>
      <x:c r="M162" s="75"/>
      <x:c r="N162" s="75"/>
      <x:c r="O162" s="75"/>
      <x:c r="P162" s="75"/>
      <x:c r="Q162" s="75"/>
      <x:c r="R162" s="75"/>
      <x:c r="S162" s="75"/>
      <x:c r="T162" s="75"/>
      <x:c r="U162" s="75"/>
      <x:c r="V162" s="75"/>
      <x:c r="W162" s="75"/>
      <x:c r="X162" s="75"/>
      <x:c r="Y162" s="75"/>
      <x:c r="Z162" s="75"/>
    </x:row>
    <x:row r="163">
      <x:c r="A163" s="75"/>
      <x:c r="B163" s="75"/>
      <x:c r="C163" s="75"/>
      <x:c r="D163" s="75"/>
      <x:c r="E163" s="75"/>
      <x:c r="F163" s="75"/>
      <x:c r="G163" s="75"/>
      <x:c r="H163" s="75"/>
      <x:c r="I163" s="75"/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</x:row>
    <x:row r="164">
      <x:c r="A164" s="75"/>
      <x:c r="B164" s="75"/>
      <x:c r="C164" s="75"/>
      <x:c r="D164" s="75"/>
      <x:c r="E164" s="75"/>
      <x:c r="F164" s="75"/>
      <x:c r="G164" s="75"/>
      <x:c r="H164" s="75"/>
      <x:c r="I164" s="75"/>
      <x:c r="J164" s="75"/>
      <x:c r="K164" s="75"/>
      <x:c r="L164" s="75"/>
      <x:c r="M164" s="75"/>
      <x:c r="N164" s="75"/>
      <x:c r="O164" s="75"/>
      <x:c r="P164" s="75"/>
      <x:c r="Q164" s="75"/>
      <x:c r="R164" s="75"/>
      <x:c r="S164" s="75"/>
      <x:c r="T164" s="75"/>
      <x:c r="U164" s="75"/>
      <x:c r="V164" s="75"/>
      <x:c r="W164" s="75"/>
      <x:c r="X164" s="75"/>
      <x:c r="Y164" s="75"/>
      <x:c r="Z164" s="75"/>
    </x:row>
    <x:row r="165">
      <x:c r="A165" s="75"/>
      <x:c r="B165" s="75"/>
      <x:c r="C165" s="75"/>
      <x:c r="D165" s="75"/>
      <x:c r="E165" s="75"/>
      <x:c r="F165" s="75"/>
      <x:c r="G165" s="75"/>
      <x:c r="H165" s="75"/>
      <x:c r="I165" s="75"/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</x:row>
    <x:row r="166">
      <x:c r="A166" s="75"/>
      <x:c r="B166" s="75"/>
      <x:c r="C166" s="75"/>
      <x:c r="D166" s="75"/>
      <x:c r="E166" s="75"/>
      <x:c r="F166" s="75"/>
      <x:c r="G166" s="75"/>
      <x:c r="H166" s="75"/>
      <x:c r="I166" s="75"/>
      <x:c r="J166" s="75"/>
      <x:c r="K166" s="75"/>
      <x:c r="L166" s="75"/>
      <x:c r="M166" s="75"/>
      <x:c r="N166" s="75"/>
      <x:c r="O166" s="75"/>
      <x:c r="P166" s="75"/>
      <x:c r="Q166" s="75"/>
      <x:c r="R166" s="75"/>
      <x:c r="S166" s="75"/>
      <x:c r="T166" s="75"/>
      <x:c r="U166" s="75"/>
      <x:c r="V166" s="75"/>
      <x:c r="W166" s="75"/>
      <x:c r="X166" s="75"/>
      <x:c r="Y166" s="75"/>
      <x:c r="Z166" s="75"/>
    </x:row>
    <x:row r="167">
      <x:c r="A167" s="75"/>
      <x:c r="B167" s="75"/>
      <x:c r="C167" s="75"/>
      <x:c r="D167" s="75"/>
      <x:c r="E167" s="75"/>
      <x:c r="F167" s="75"/>
      <x:c r="G167" s="75"/>
      <x:c r="H167" s="75"/>
      <x:c r="I167" s="75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</x:row>
    <x:row r="168">
      <x:c r="A168" s="75"/>
      <x:c r="B168" s="75"/>
      <x:c r="C168" s="75"/>
      <x:c r="D168" s="75"/>
      <x:c r="E168" s="75"/>
      <x:c r="F168" s="75"/>
      <x:c r="G168" s="75"/>
      <x:c r="H168" s="75"/>
      <x:c r="I168" s="75"/>
      <x:c r="J168" s="75"/>
      <x:c r="K168" s="75"/>
      <x:c r="L168" s="75"/>
      <x:c r="M168" s="75"/>
      <x:c r="N168" s="75"/>
      <x:c r="O168" s="75"/>
      <x:c r="P168" s="75"/>
      <x:c r="Q168" s="75"/>
      <x:c r="R168" s="75"/>
      <x:c r="S168" s="75"/>
      <x:c r="T168" s="75"/>
      <x:c r="U168" s="75"/>
      <x:c r="V168" s="75"/>
      <x:c r="W168" s="75"/>
      <x:c r="X168" s="75"/>
      <x:c r="Y168" s="75"/>
      <x:c r="Z168" s="75"/>
    </x:row>
    <x:row r="169">
      <x:c r="A169" s="75"/>
      <x:c r="B169" s="75"/>
      <x:c r="C169" s="75"/>
      <x:c r="D169" s="75"/>
      <x:c r="E169" s="75"/>
      <x:c r="F169" s="75"/>
      <x:c r="G169" s="75"/>
      <x:c r="H169" s="75"/>
      <x:c r="I169" s="75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</x:row>
    <x:row r="170">
      <x:c r="A170" s="75"/>
      <x:c r="B170" s="75"/>
      <x:c r="C170" s="75"/>
      <x:c r="D170" s="75"/>
      <x:c r="E170" s="75"/>
      <x:c r="F170" s="75"/>
      <x:c r="G170" s="75"/>
      <x:c r="H170" s="75"/>
      <x:c r="I170" s="75"/>
      <x:c r="J170" s="75"/>
      <x:c r="K170" s="75"/>
      <x:c r="L170" s="75"/>
      <x:c r="M170" s="75"/>
      <x:c r="N170" s="75"/>
      <x:c r="O170" s="75"/>
      <x:c r="P170" s="75"/>
      <x:c r="Q170" s="75"/>
      <x:c r="R170" s="75"/>
      <x:c r="S170" s="75"/>
      <x:c r="T170" s="75"/>
      <x:c r="U170" s="75"/>
      <x:c r="V170" s="75"/>
      <x:c r="W170" s="75"/>
      <x:c r="X170" s="75"/>
      <x:c r="Y170" s="75"/>
      <x:c r="Z170" s="75"/>
    </x:row>
    <x:row r="171">
      <x:c r="A171" s="75"/>
      <x:c r="B171" s="75"/>
      <x:c r="C171" s="75"/>
      <x:c r="D171" s="75"/>
      <x:c r="E171" s="75"/>
      <x:c r="F171" s="75"/>
      <x:c r="G171" s="75"/>
      <x:c r="H171" s="75"/>
      <x:c r="I171" s="75"/>
      <x:c r="J171" s="75"/>
      <x:c r="K171" s="75"/>
      <x:c r="L171" s="75"/>
      <x:c r="M171" s="75"/>
      <x:c r="N171" s="75"/>
      <x:c r="O171" s="75"/>
      <x:c r="P171" s="75"/>
      <x:c r="Q171" s="75"/>
      <x:c r="R171" s="75"/>
      <x:c r="S171" s="75"/>
      <x:c r="T171" s="75"/>
      <x:c r="U171" s="75"/>
      <x:c r="V171" s="75"/>
      <x:c r="W171" s="75"/>
      <x:c r="X171" s="75"/>
      <x:c r="Y171" s="75"/>
      <x:c r="Z171" s="75"/>
    </x:row>
    <x:row r="172">
      <x:c r="A172" s="75"/>
      <x:c r="B172" s="75"/>
      <x:c r="C172" s="75"/>
      <x:c r="D172" s="75"/>
      <x:c r="E172" s="75"/>
      <x:c r="F172" s="75"/>
      <x:c r="G172" s="75"/>
      <x:c r="H172" s="75"/>
      <x:c r="I172" s="75"/>
      <x:c r="J172" s="75"/>
      <x:c r="K172" s="75"/>
      <x:c r="L172" s="75"/>
      <x:c r="M172" s="75"/>
      <x:c r="N172" s="75"/>
      <x:c r="O172" s="75"/>
      <x:c r="P172" s="75"/>
      <x:c r="Q172" s="75"/>
      <x:c r="R172" s="75"/>
      <x:c r="S172" s="75"/>
      <x:c r="T172" s="75"/>
      <x:c r="U172" s="75"/>
      <x:c r="V172" s="75"/>
      <x:c r="W172" s="75"/>
      <x:c r="X172" s="75"/>
      <x:c r="Y172" s="75"/>
      <x:c r="Z172" s="75"/>
    </x:row>
    <x:row r="173">
      <x:c r="A173" s="75"/>
      <x:c r="B173" s="75"/>
      <x:c r="C173" s="75"/>
      <x:c r="D173" s="75"/>
      <x:c r="E173" s="75"/>
      <x:c r="F173" s="75"/>
      <x:c r="G173" s="75"/>
      <x:c r="H173" s="75"/>
      <x:c r="I173" s="75"/>
      <x:c r="J173" s="75"/>
      <x:c r="K173" s="75"/>
      <x:c r="L173" s="75"/>
      <x:c r="M173" s="75"/>
      <x:c r="N173" s="75"/>
      <x:c r="O173" s="75"/>
      <x:c r="P173" s="75"/>
      <x:c r="Q173" s="75"/>
      <x:c r="R173" s="75"/>
      <x:c r="S173" s="75"/>
      <x:c r="T173" s="75"/>
      <x:c r="U173" s="75"/>
      <x:c r="V173" s="75"/>
      <x:c r="W173" s="75"/>
      <x:c r="X173" s="75"/>
      <x:c r="Y173" s="75"/>
      <x:c r="Z173" s="75"/>
    </x:row>
    <x:row r="174">
      <x:c r="A174" s="75"/>
      <x:c r="B174" s="75"/>
      <x:c r="C174" s="75"/>
      <x:c r="D174" s="75"/>
      <x:c r="E174" s="75"/>
      <x:c r="F174" s="75"/>
      <x:c r="G174" s="75"/>
      <x:c r="H174" s="75"/>
      <x:c r="I174" s="75"/>
      <x:c r="J174" s="75"/>
      <x:c r="K174" s="75"/>
      <x:c r="L174" s="75"/>
      <x:c r="M174" s="75"/>
      <x:c r="N174" s="75"/>
      <x:c r="O174" s="75"/>
      <x:c r="P174" s="75"/>
      <x:c r="Q174" s="75"/>
      <x:c r="R174" s="75"/>
      <x:c r="S174" s="75"/>
      <x:c r="T174" s="75"/>
      <x:c r="U174" s="75"/>
      <x:c r="V174" s="75"/>
      <x:c r="W174" s="75"/>
      <x:c r="X174" s="75"/>
      <x:c r="Y174" s="75"/>
      <x:c r="Z174" s="75"/>
    </x:row>
    <x:row r="175">
      <x:c r="A175" s="75"/>
      <x:c r="B175" s="75"/>
      <x:c r="C175" s="75"/>
      <x:c r="D175" s="75"/>
      <x:c r="E175" s="75"/>
      <x:c r="F175" s="75"/>
      <x:c r="G175" s="75"/>
      <x:c r="H175" s="75"/>
      <x:c r="I175" s="75"/>
      <x:c r="J175" s="75"/>
      <x:c r="K175" s="75"/>
      <x:c r="L175" s="75"/>
      <x:c r="M175" s="75"/>
      <x:c r="N175" s="75"/>
      <x:c r="O175" s="75"/>
      <x:c r="P175" s="75"/>
      <x:c r="Q175" s="75"/>
      <x:c r="R175" s="75"/>
      <x:c r="S175" s="75"/>
      <x:c r="T175" s="75"/>
      <x:c r="U175" s="75"/>
      <x:c r="V175" s="75"/>
      <x:c r="W175" s="75"/>
      <x:c r="X175" s="75"/>
      <x:c r="Y175" s="75"/>
      <x:c r="Z175" s="75"/>
    </x:row>
    <x:row r="176">
      <x:c r="A176" s="75"/>
      <x:c r="B176" s="75"/>
      <x:c r="C176" s="75"/>
      <x:c r="D176" s="75"/>
      <x:c r="E176" s="75"/>
      <x:c r="F176" s="75"/>
      <x:c r="G176" s="75"/>
      <x:c r="H176" s="75"/>
      <x:c r="I176" s="75"/>
      <x:c r="J176" s="75"/>
      <x:c r="K176" s="75"/>
      <x:c r="L176" s="75"/>
      <x:c r="M176" s="75"/>
      <x:c r="N176" s="75"/>
      <x:c r="O176" s="75"/>
      <x:c r="P176" s="75"/>
      <x:c r="Q176" s="75"/>
      <x:c r="R176" s="75"/>
      <x:c r="S176" s="75"/>
      <x:c r="T176" s="75"/>
      <x:c r="U176" s="75"/>
      <x:c r="V176" s="75"/>
      <x:c r="W176" s="75"/>
      <x:c r="X176" s="75"/>
      <x:c r="Y176" s="75"/>
      <x:c r="Z176" s="75"/>
    </x:row>
    <x:row r="177">
      <x:c r="A177" s="75"/>
      <x:c r="B177" s="75"/>
      <x:c r="C177" s="75"/>
      <x:c r="D177" s="75"/>
      <x:c r="E177" s="75"/>
      <x:c r="F177" s="75"/>
      <x:c r="G177" s="75"/>
      <x:c r="H177" s="75"/>
      <x:c r="I177" s="75"/>
      <x:c r="J177" s="75"/>
      <x:c r="K177" s="75"/>
      <x:c r="L177" s="75"/>
      <x:c r="M177" s="75"/>
      <x:c r="N177" s="75"/>
      <x:c r="O177" s="75"/>
      <x:c r="P177" s="75"/>
      <x:c r="Q177" s="75"/>
      <x:c r="R177" s="75"/>
      <x:c r="S177" s="75"/>
      <x:c r="T177" s="75"/>
      <x:c r="U177" s="75"/>
      <x:c r="V177" s="75"/>
      <x:c r="W177" s="75"/>
      <x:c r="X177" s="75"/>
      <x:c r="Y177" s="75"/>
      <x:c r="Z177" s="75"/>
    </x:row>
    <x:row r="178">
      <x:c r="A178" s="75"/>
      <x:c r="B178" s="75"/>
      <x:c r="C178" s="75"/>
      <x:c r="D178" s="75"/>
      <x:c r="E178" s="75"/>
      <x:c r="F178" s="75"/>
      <x:c r="G178" s="75"/>
      <x:c r="H178" s="75"/>
      <x:c r="I178" s="75"/>
      <x:c r="J178" s="75"/>
      <x:c r="K178" s="75"/>
      <x:c r="L178" s="75"/>
      <x:c r="M178" s="75"/>
      <x:c r="N178" s="75"/>
      <x:c r="O178" s="75"/>
      <x:c r="P178" s="75"/>
      <x:c r="Q178" s="75"/>
      <x:c r="R178" s="75"/>
      <x:c r="S178" s="75"/>
      <x:c r="T178" s="75"/>
      <x:c r="U178" s="75"/>
      <x:c r="V178" s="75"/>
      <x:c r="W178" s="75"/>
      <x:c r="X178" s="75"/>
      <x:c r="Y178" s="75"/>
      <x:c r="Z178" s="75"/>
    </x:row>
    <x:row r="179">
      <x:c r="A179" s="75"/>
      <x:c r="B179" s="75"/>
      <x:c r="C179" s="75"/>
      <x:c r="D179" s="75"/>
      <x:c r="E179" s="75"/>
      <x:c r="F179" s="75"/>
      <x:c r="G179" s="75"/>
      <x:c r="H179" s="75"/>
      <x:c r="I179" s="75"/>
      <x:c r="J179" s="75"/>
      <x:c r="K179" s="75"/>
      <x:c r="L179" s="75"/>
      <x:c r="M179" s="75"/>
      <x:c r="N179" s="75"/>
      <x:c r="O179" s="75"/>
      <x:c r="P179" s="75"/>
      <x:c r="Q179" s="75"/>
      <x:c r="R179" s="75"/>
      <x:c r="S179" s="75"/>
      <x:c r="T179" s="75"/>
      <x:c r="U179" s="75"/>
      <x:c r="V179" s="75"/>
      <x:c r="W179" s="75"/>
      <x:c r="X179" s="75"/>
      <x:c r="Y179" s="75"/>
      <x:c r="Z179" s="75"/>
    </x:row>
    <x:row r="180">
      <x:c r="A180" s="75"/>
      <x:c r="B180" s="75"/>
      <x:c r="C180" s="75"/>
      <x:c r="D180" s="75"/>
      <x:c r="E180" s="75"/>
      <x:c r="F180" s="75"/>
      <x:c r="G180" s="75"/>
      <x:c r="H180" s="75"/>
      <x:c r="I180" s="75"/>
      <x:c r="J180" s="75"/>
      <x:c r="K180" s="75"/>
      <x:c r="L180" s="75"/>
      <x:c r="M180" s="75"/>
      <x:c r="N180" s="75"/>
      <x:c r="O180" s="75"/>
      <x:c r="P180" s="75"/>
      <x:c r="Q180" s="75"/>
      <x:c r="R180" s="75"/>
      <x:c r="S180" s="75"/>
      <x:c r="T180" s="75"/>
      <x:c r="U180" s="75"/>
      <x:c r="V180" s="75"/>
      <x:c r="W180" s="75"/>
      <x:c r="X180" s="75"/>
      <x:c r="Y180" s="75"/>
      <x:c r="Z180" s="75"/>
    </x:row>
    <x:row r="181">
      <x:c r="A181" s="75"/>
      <x:c r="B181" s="75"/>
      <x:c r="C181" s="75"/>
      <x:c r="D181" s="75"/>
      <x:c r="E181" s="75"/>
      <x:c r="F181" s="75"/>
      <x:c r="G181" s="75"/>
      <x:c r="H181" s="75"/>
      <x:c r="I181" s="75"/>
      <x:c r="J181" s="75"/>
      <x:c r="K181" s="75"/>
      <x:c r="L181" s="75"/>
      <x:c r="M181" s="75"/>
      <x:c r="N181" s="75"/>
      <x:c r="O181" s="75"/>
      <x:c r="P181" s="75"/>
      <x:c r="Q181" s="75"/>
      <x:c r="R181" s="75"/>
      <x:c r="S181" s="75"/>
      <x:c r="T181" s="75"/>
      <x:c r="U181" s="75"/>
      <x:c r="V181" s="75"/>
      <x:c r="W181" s="75"/>
      <x:c r="X181" s="75"/>
      <x:c r="Y181" s="75"/>
      <x:c r="Z181" s="75"/>
    </x:row>
    <x:row r="182">
      <x:c r="A182" s="75"/>
      <x:c r="B182" s="75"/>
      <x:c r="C182" s="75"/>
      <x:c r="D182" s="75"/>
      <x:c r="E182" s="75"/>
      <x:c r="F182" s="75"/>
      <x:c r="G182" s="75"/>
      <x:c r="H182" s="75"/>
      <x:c r="I182" s="75"/>
      <x:c r="J182" s="75"/>
      <x:c r="K182" s="75"/>
      <x:c r="L182" s="75"/>
      <x:c r="M182" s="75"/>
      <x:c r="N182" s="75"/>
      <x:c r="O182" s="75"/>
      <x:c r="P182" s="75"/>
      <x:c r="Q182" s="75"/>
      <x:c r="R182" s="75"/>
      <x:c r="S182" s="75"/>
      <x:c r="T182" s="75"/>
      <x:c r="U182" s="75"/>
      <x:c r="V182" s="75"/>
      <x:c r="W182" s="75"/>
      <x:c r="X182" s="75"/>
      <x:c r="Y182" s="75"/>
      <x:c r="Z182" s="75"/>
    </x:row>
    <x:row r="183">
      <x:c r="A183" s="75"/>
      <x:c r="B183" s="75"/>
      <x:c r="C183" s="75"/>
      <x:c r="D183" s="75"/>
      <x:c r="E183" s="75"/>
      <x:c r="F183" s="75"/>
      <x:c r="G183" s="75"/>
      <x:c r="H183" s="75"/>
      <x:c r="I183" s="75"/>
      <x:c r="J183" s="75"/>
      <x:c r="K183" s="75"/>
      <x:c r="L183" s="75"/>
      <x:c r="M183" s="75"/>
      <x:c r="N183" s="75"/>
      <x:c r="O183" s="75"/>
      <x:c r="P183" s="75"/>
      <x:c r="Q183" s="75"/>
      <x:c r="R183" s="75"/>
      <x:c r="S183" s="75"/>
      <x:c r="T183" s="75"/>
      <x:c r="U183" s="75"/>
      <x:c r="V183" s="75"/>
      <x:c r="W183" s="75"/>
      <x:c r="X183" s="75"/>
      <x:c r="Y183" s="75"/>
      <x:c r="Z183" s="75"/>
    </x:row>
    <x:row r="184">
      <x:c r="A184" s="75"/>
      <x:c r="B184" s="75"/>
      <x:c r="C184" s="75"/>
      <x:c r="D184" s="75"/>
      <x:c r="E184" s="75"/>
      <x:c r="F184" s="75"/>
      <x:c r="G184" s="75"/>
      <x:c r="H184" s="75"/>
      <x:c r="I184" s="75"/>
      <x:c r="J184" s="75"/>
      <x:c r="K184" s="75"/>
      <x:c r="L184" s="75"/>
      <x:c r="M184" s="75"/>
      <x:c r="N184" s="75"/>
      <x:c r="O184" s="75"/>
      <x:c r="P184" s="75"/>
      <x:c r="Q184" s="75"/>
      <x:c r="R184" s="75"/>
      <x:c r="S184" s="75"/>
      <x:c r="T184" s="75"/>
      <x:c r="U184" s="75"/>
      <x:c r="V184" s="75"/>
      <x:c r="W184" s="75"/>
      <x:c r="X184" s="75"/>
      <x:c r="Y184" s="75"/>
      <x:c r="Z184" s="75"/>
    </x:row>
    <x:row r="185">
      <x:c r="A185" s="75"/>
      <x:c r="B185" s="75"/>
      <x:c r="C185" s="75"/>
      <x:c r="D185" s="75"/>
      <x:c r="E185" s="75"/>
      <x:c r="F185" s="75"/>
      <x:c r="G185" s="75"/>
      <x:c r="H185" s="75"/>
      <x:c r="I185" s="75"/>
      <x:c r="J185" s="75"/>
      <x:c r="K185" s="75"/>
      <x:c r="L185" s="75"/>
      <x:c r="M185" s="75"/>
      <x:c r="N185" s="75"/>
      <x:c r="O185" s="75"/>
      <x:c r="P185" s="75"/>
      <x:c r="Q185" s="75"/>
      <x:c r="R185" s="75"/>
      <x:c r="S185" s="75"/>
      <x:c r="T185" s="75"/>
      <x:c r="U185" s="75"/>
      <x:c r="V185" s="75"/>
      <x:c r="W185" s="75"/>
      <x:c r="X185" s="75"/>
      <x:c r="Y185" s="75"/>
      <x:c r="Z185" s="75"/>
    </x:row>
    <x:row r="186">
      <x:c r="A186" s="75"/>
      <x:c r="B186" s="75"/>
      <x:c r="C186" s="75"/>
      <x:c r="D186" s="75"/>
      <x:c r="E186" s="75"/>
      <x:c r="F186" s="75"/>
      <x:c r="G186" s="75"/>
      <x:c r="H186" s="75"/>
      <x:c r="I186" s="75"/>
      <x:c r="J186" s="75"/>
      <x:c r="K186" s="75"/>
      <x:c r="L186" s="75"/>
      <x:c r="M186" s="75"/>
      <x:c r="N186" s="75"/>
      <x:c r="O186" s="75"/>
      <x:c r="P186" s="75"/>
      <x:c r="Q186" s="75"/>
      <x:c r="R186" s="75"/>
      <x:c r="S186" s="75"/>
      <x:c r="T186" s="75"/>
      <x:c r="U186" s="75"/>
      <x:c r="V186" s="75"/>
      <x:c r="W186" s="75"/>
      <x:c r="X186" s="75"/>
      <x:c r="Y186" s="75"/>
      <x:c r="Z186" s="75"/>
    </x:row>
    <x:row r="187">
      <x:c r="A187" s="75"/>
      <x:c r="B187" s="75"/>
      <x:c r="C187" s="75"/>
      <x:c r="D187" s="75"/>
      <x:c r="E187" s="75"/>
      <x:c r="F187" s="75"/>
      <x:c r="G187" s="75"/>
      <x:c r="H187" s="75"/>
      <x:c r="I187" s="75"/>
      <x:c r="J187" s="75"/>
      <x:c r="K187" s="75"/>
      <x:c r="L187" s="75"/>
      <x:c r="M187" s="75"/>
      <x:c r="N187" s="75"/>
      <x:c r="O187" s="75"/>
      <x:c r="P187" s="75"/>
      <x:c r="Q187" s="75"/>
      <x:c r="R187" s="75"/>
      <x:c r="S187" s="75"/>
      <x:c r="T187" s="75"/>
      <x:c r="U187" s="75"/>
      <x:c r="V187" s="75"/>
      <x:c r="W187" s="75"/>
      <x:c r="X187" s="75"/>
      <x:c r="Y187" s="75"/>
      <x:c r="Z187" s="75"/>
    </x:row>
    <x:row r="188">
      <x:c r="A188" s="75"/>
      <x:c r="B188" s="75"/>
      <x:c r="C188" s="75"/>
      <x:c r="D188" s="75"/>
      <x:c r="E188" s="75"/>
      <x:c r="F188" s="75"/>
      <x:c r="G188" s="75"/>
      <x:c r="H188" s="75"/>
      <x:c r="I188" s="75"/>
      <x:c r="J188" s="75"/>
      <x:c r="K188" s="75"/>
      <x:c r="L188" s="75"/>
      <x:c r="M188" s="75"/>
      <x:c r="N188" s="75"/>
      <x:c r="O188" s="75"/>
      <x:c r="P188" s="75"/>
      <x:c r="Q188" s="75"/>
      <x:c r="R188" s="75"/>
      <x:c r="S188" s="75"/>
      <x:c r="T188" s="75"/>
      <x:c r="U188" s="75"/>
      <x:c r="V188" s="75"/>
      <x:c r="W188" s="75"/>
      <x:c r="X188" s="75"/>
      <x:c r="Y188" s="75"/>
      <x:c r="Z188" s="75"/>
    </x:row>
    <x:row r="189">
      <x:c r="A189" s="75"/>
      <x:c r="B189" s="75"/>
      <x:c r="C189" s="75"/>
      <x:c r="D189" s="75"/>
      <x:c r="E189" s="75"/>
      <x:c r="F189" s="75"/>
      <x:c r="G189" s="75"/>
      <x:c r="H189" s="75"/>
      <x:c r="I189" s="75"/>
      <x:c r="J189" s="75"/>
      <x:c r="K189" s="75"/>
      <x:c r="L189" s="75"/>
      <x:c r="M189" s="75"/>
      <x:c r="N189" s="75"/>
      <x:c r="O189" s="75"/>
      <x:c r="P189" s="75"/>
      <x:c r="Q189" s="75"/>
      <x:c r="R189" s="75"/>
      <x:c r="S189" s="75"/>
      <x:c r="T189" s="75"/>
      <x:c r="U189" s="75"/>
      <x:c r="V189" s="75"/>
      <x:c r="W189" s="75"/>
      <x:c r="X189" s="75"/>
      <x:c r="Y189" s="75"/>
      <x:c r="Z189" s="75"/>
    </x:row>
    <x:row r="190">
      <x:c r="A190" s="75"/>
      <x:c r="B190" s="75"/>
      <x:c r="C190" s="75"/>
      <x:c r="D190" s="75"/>
      <x:c r="E190" s="75"/>
      <x:c r="F190" s="75"/>
      <x:c r="G190" s="75"/>
      <x:c r="H190" s="75"/>
      <x:c r="I190" s="75"/>
      <x:c r="J190" s="75"/>
      <x:c r="K190" s="75"/>
      <x:c r="L190" s="75"/>
      <x:c r="M190" s="75"/>
      <x:c r="N190" s="75"/>
      <x:c r="O190" s="75"/>
      <x:c r="P190" s="75"/>
      <x:c r="Q190" s="75"/>
      <x:c r="R190" s="75"/>
      <x:c r="S190" s="75"/>
      <x:c r="T190" s="75"/>
      <x:c r="U190" s="75"/>
      <x:c r="V190" s="75"/>
      <x:c r="W190" s="75"/>
      <x:c r="X190" s="75"/>
      <x:c r="Y190" s="75"/>
      <x:c r="Z190" s="75"/>
    </x:row>
    <x:row r="191">
      <x:c r="A191" s="75"/>
      <x:c r="B191" s="75"/>
      <x:c r="C191" s="75"/>
      <x:c r="D191" s="75"/>
      <x:c r="E191" s="75"/>
      <x:c r="F191" s="75"/>
      <x:c r="G191" s="75"/>
      <x:c r="H191" s="75"/>
      <x:c r="I191" s="75"/>
      <x:c r="J191" s="75"/>
      <x:c r="K191" s="75"/>
      <x:c r="L191" s="75"/>
      <x:c r="M191" s="75"/>
      <x:c r="N191" s="75"/>
      <x:c r="O191" s="75"/>
      <x:c r="P191" s="75"/>
      <x:c r="Q191" s="75"/>
      <x:c r="R191" s="75"/>
      <x:c r="S191" s="75"/>
      <x:c r="T191" s="75"/>
      <x:c r="U191" s="75"/>
      <x:c r="V191" s="75"/>
      <x:c r="W191" s="75"/>
      <x:c r="X191" s="75"/>
      <x:c r="Y191" s="75"/>
      <x:c r="Z191" s="75"/>
    </x:row>
    <x:row r="192">
      <x:c r="A192" s="75"/>
      <x:c r="B192" s="75"/>
      <x:c r="C192" s="75"/>
      <x:c r="D192" s="75"/>
      <x:c r="E192" s="75"/>
      <x:c r="F192" s="75"/>
      <x:c r="G192" s="75"/>
      <x:c r="H192" s="75"/>
      <x:c r="I192" s="75"/>
      <x:c r="J192" s="75"/>
      <x:c r="K192" s="75"/>
      <x:c r="L192" s="75"/>
      <x:c r="M192" s="75"/>
      <x:c r="N192" s="75"/>
      <x:c r="O192" s="75"/>
      <x:c r="P192" s="75"/>
      <x:c r="Q192" s="75"/>
      <x:c r="R192" s="75"/>
      <x:c r="S192" s="75"/>
      <x:c r="T192" s="75"/>
      <x:c r="U192" s="75"/>
      <x:c r="V192" s="75"/>
      <x:c r="W192" s="75"/>
      <x:c r="X192" s="75"/>
      <x:c r="Y192" s="75"/>
      <x:c r="Z192" s="75"/>
    </x:row>
    <x:row r="193">
      <x:c r="A193" s="75"/>
      <x:c r="B193" s="75"/>
      <x:c r="C193" s="75"/>
      <x:c r="D193" s="75"/>
      <x:c r="E193" s="75"/>
      <x:c r="F193" s="75"/>
      <x:c r="G193" s="75"/>
      <x:c r="H193" s="75"/>
      <x:c r="I193" s="75"/>
      <x:c r="J193" s="75"/>
      <x:c r="K193" s="75"/>
      <x:c r="L193" s="75"/>
      <x:c r="M193" s="75"/>
      <x:c r="N193" s="75"/>
      <x:c r="O193" s="75"/>
      <x:c r="P193" s="75"/>
      <x:c r="Q193" s="75"/>
      <x:c r="R193" s="75"/>
      <x:c r="S193" s="75"/>
      <x:c r="T193" s="75"/>
      <x:c r="U193" s="75"/>
      <x:c r="V193" s="75"/>
      <x:c r="W193" s="75"/>
      <x:c r="X193" s="75"/>
      <x:c r="Y193" s="75"/>
      <x:c r="Z193" s="75"/>
    </x:row>
    <x:row r="194">
      <x:c r="A194" s="75"/>
      <x:c r="B194" s="75"/>
      <x:c r="C194" s="75"/>
      <x:c r="D194" s="75"/>
      <x:c r="E194" s="75"/>
      <x:c r="F194" s="75"/>
      <x:c r="G194" s="75"/>
      <x:c r="H194" s="75"/>
      <x:c r="I194" s="75"/>
      <x:c r="J194" s="75"/>
      <x:c r="K194" s="75"/>
      <x:c r="L194" s="75"/>
      <x:c r="M194" s="75"/>
      <x:c r="N194" s="75"/>
      <x:c r="O194" s="75"/>
      <x:c r="P194" s="75"/>
      <x:c r="Q194" s="75"/>
      <x:c r="R194" s="75"/>
      <x:c r="S194" s="75"/>
      <x:c r="T194" s="75"/>
      <x:c r="U194" s="75"/>
      <x:c r="V194" s="75"/>
      <x:c r="W194" s="75"/>
      <x:c r="X194" s="75"/>
      <x:c r="Y194" s="75"/>
      <x:c r="Z194" s="75"/>
    </x:row>
    <x:row r="195">
      <x:c r="A195" s="75"/>
      <x:c r="B195" s="75"/>
      <x:c r="C195" s="75"/>
      <x:c r="D195" s="75"/>
      <x:c r="E195" s="75"/>
      <x:c r="F195" s="75"/>
      <x:c r="G195" s="75"/>
      <x:c r="H195" s="75"/>
      <x:c r="I195" s="75"/>
      <x:c r="J195" s="75"/>
      <x:c r="K195" s="75"/>
      <x:c r="L195" s="75"/>
      <x:c r="M195" s="75"/>
      <x:c r="N195" s="75"/>
      <x:c r="O195" s="75"/>
      <x:c r="P195" s="75"/>
      <x:c r="Q195" s="75"/>
      <x:c r="R195" s="75"/>
      <x:c r="S195" s="75"/>
      <x:c r="T195" s="75"/>
      <x:c r="U195" s="75"/>
      <x:c r="V195" s="75"/>
      <x:c r="W195" s="75"/>
      <x:c r="X195" s="75"/>
      <x:c r="Y195" s="75"/>
      <x:c r="Z195" s="75"/>
    </x:row>
    <x:row r="196">
      <x:c r="A196" s="75"/>
      <x:c r="B196" s="75"/>
      <x:c r="C196" s="75"/>
      <x:c r="D196" s="75"/>
      <x:c r="E196" s="75"/>
      <x:c r="F196" s="75"/>
      <x:c r="G196" s="75"/>
      <x:c r="H196" s="75"/>
      <x:c r="I196" s="75"/>
      <x:c r="J196" s="75"/>
      <x:c r="K196" s="75"/>
      <x:c r="L196" s="75"/>
      <x:c r="M196" s="75"/>
      <x:c r="N196" s="75"/>
      <x:c r="O196" s="75"/>
      <x:c r="P196" s="75"/>
      <x:c r="Q196" s="75"/>
      <x:c r="R196" s="75"/>
      <x:c r="S196" s="75"/>
      <x:c r="T196" s="75"/>
      <x:c r="U196" s="75"/>
      <x:c r="V196" s="75"/>
      <x:c r="W196" s="75"/>
      <x:c r="X196" s="75"/>
      <x:c r="Y196" s="75"/>
      <x:c r="Z196" s="75"/>
    </x:row>
    <x:row r="197">
      <x:c r="A197" s="75"/>
      <x:c r="B197" s="75"/>
      <x:c r="C197" s="75"/>
      <x:c r="D197" s="75"/>
      <x:c r="E197" s="75"/>
      <x:c r="F197" s="75"/>
      <x:c r="G197" s="75"/>
      <x:c r="H197" s="75"/>
      <x:c r="I197" s="75"/>
      <x:c r="J197" s="75"/>
      <x:c r="K197" s="75"/>
      <x:c r="L197" s="75"/>
      <x:c r="M197" s="75"/>
      <x:c r="N197" s="75"/>
      <x:c r="O197" s="75"/>
      <x:c r="P197" s="75"/>
      <x:c r="Q197" s="75"/>
      <x:c r="R197" s="75"/>
      <x:c r="S197" s="75"/>
      <x:c r="T197" s="75"/>
      <x:c r="U197" s="75"/>
      <x:c r="V197" s="75"/>
      <x:c r="W197" s="75"/>
      <x:c r="X197" s="75"/>
      <x:c r="Y197" s="75"/>
      <x:c r="Z197" s="75"/>
    </x:row>
    <x:row r="198">
      <x:c r="A198" s="75"/>
      <x:c r="B198" s="75"/>
      <x:c r="C198" s="75"/>
      <x:c r="D198" s="75"/>
      <x:c r="E198" s="75"/>
      <x:c r="F198" s="75"/>
      <x:c r="G198" s="75"/>
      <x:c r="H198" s="75"/>
      <x:c r="I198" s="75"/>
      <x:c r="J198" s="75"/>
      <x:c r="K198" s="75"/>
      <x:c r="L198" s="75"/>
      <x:c r="M198" s="75"/>
      <x:c r="N198" s="75"/>
      <x:c r="O198" s="75"/>
      <x:c r="P198" s="75"/>
      <x:c r="Q198" s="75"/>
      <x:c r="R198" s="75"/>
      <x:c r="S198" s="75"/>
      <x:c r="T198" s="75"/>
      <x:c r="U198" s="75"/>
      <x:c r="V198" s="75"/>
      <x:c r="W198" s="75"/>
      <x:c r="X198" s="75"/>
      <x:c r="Y198" s="75"/>
      <x:c r="Z198" s="75"/>
    </x:row>
    <x:row r="199">
      <x:c r="A199" s="75"/>
      <x:c r="B199" s="75"/>
      <x:c r="C199" s="75"/>
      <x:c r="D199" s="75"/>
      <x:c r="E199" s="75"/>
      <x:c r="F199" s="75"/>
      <x:c r="G199" s="75"/>
      <x:c r="H199" s="75"/>
      <x:c r="I199" s="75"/>
      <x:c r="J199" s="75"/>
      <x:c r="K199" s="75"/>
      <x:c r="L199" s="75"/>
      <x:c r="M199" s="75"/>
      <x:c r="N199" s="75"/>
      <x:c r="O199" s="75"/>
      <x:c r="P199" s="75"/>
      <x:c r="Q199" s="75"/>
      <x:c r="R199" s="75"/>
      <x:c r="S199" s="75"/>
      <x:c r="T199" s="75"/>
      <x:c r="U199" s="75"/>
      <x:c r="V199" s="75"/>
      <x:c r="W199" s="75"/>
      <x:c r="X199" s="75"/>
      <x:c r="Y199" s="75"/>
      <x:c r="Z199" s="75"/>
    </x:row>
    <x:row r="200">
      <x:c r="A200" s="75"/>
      <x:c r="B200" s="75"/>
      <x:c r="C200" s="75"/>
      <x:c r="D200" s="75"/>
      <x:c r="E200" s="75"/>
      <x:c r="F200" s="75"/>
      <x:c r="G200" s="75"/>
      <x:c r="H200" s="75"/>
      <x:c r="I200" s="75"/>
      <x:c r="J200" s="75"/>
      <x:c r="K200" s="75"/>
      <x:c r="L200" s="75"/>
      <x:c r="M200" s="75"/>
      <x:c r="N200" s="75"/>
      <x:c r="O200" s="75"/>
      <x:c r="P200" s="75"/>
      <x:c r="Q200" s="75"/>
      <x:c r="R200" s="75"/>
      <x:c r="S200" s="75"/>
      <x:c r="T200" s="75"/>
      <x:c r="U200" s="75"/>
      <x:c r="V200" s="75"/>
      <x:c r="W200" s="75"/>
      <x:c r="X200" s="75"/>
      <x:c r="Y200" s="75"/>
      <x:c r="Z200" s="75"/>
    </x:row>
  </x:sheetData>
  <x:mergeCells>
    <x:mergeCell ref="A1:H2"/>
    <x:mergeCell ref="A3:H3"/>
    <x:mergeCell ref="D5:H5"/>
    <x:mergeCell ref="A2:E2"/>
  </x:mergeCells>
  <x:conditionalFormatting sqref="E7:E11">
    <x:cfRule type="expression" dxfId="8" priority="1">
      <x:formula>E7="Ready"</x:formula>
    </x:cfRule>
    <x:cfRule type="expression" dxfId="9" priority="2">
      <x:formula>E7="Open"</x:formula>
    </x:cfRule>
  </x:conditionalFormatting>
  <x:conditionalFormatting sqref="E11:E11">
    <x:cfRule type="expression" dxfId="10" priority="3">
      <x:formula>E11="Candidate for V3.0 build"</x:formula>
    </x:cfRule>
  </x:conditionalFormatting>
  <x:pageMargins left="0.7" right="0.7" top="0.75" bottom="0.75" header="0.3" footer="0.3"/>
  <x:drawing xmlns:r="http://schemas.openxmlformats.org/officeDocument/2006/relationships" r:id="R5f662f0f04084b2d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36" hidden="0" customWidth="1"/>
    <x:col min="4" max="4" width="24" hidden="0" customWidth="1"/>
    <x:col min="5" max="5" width="34" hidden="0" customWidth="1"/>
    <x:col min="6" max="6" width="20" hidden="0" customWidth="1"/>
    <x:col min="7" max="7" width="12" hidden="0" customWidth="1"/>
  </x:cols>
  <x:sheetData>
    <x:row r="1">
      <x:c r="A1" s="94" t="str">
        <x:v>Executive Decisions — priority approvals before V3.0 production</x:v>
      </x:c>
      <x:c r="B1" s="94"/>
      <x:c r="C1" s="94"/>
      <x:c r="D1" s="94"/>
      <x:c r="E1" s="94"/>
      <x:c r="F1" s="94"/>
      <x:c r="G1" s="94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94"/>
      <x:c r="B2" s="94"/>
      <x:c r="C2" s="94"/>
      <x:c r="D2" s="94"/>
      <x:c r="E2" s="94"/>
      <x:c r="F2" s="94"/>
      <x:c r="G2" s="94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A3" s="95" t="str">
        <x:v>Fill these decisions in the Approval Register. This sheet is a live summary, not a second input location.</x:v>
      </x:c>
      <x:c r="B3" s="95" t="str"/>
      <x:c r="C3" s="95" t="str"/>
      <x:c r="D3" s="95" t="str"/>
      <x:c r="E3" s="95" t="str"/>
      <x:c r="F3" s="95" t="str"/>
      <x:c r="G3" s="95" t="str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  <x:c r="S3" s="75"/>
      <x:c r="T3" s="75"/>
      <x:c r="U3" s="75"/>
      <x:c r="V3" s="75"/>
      <x:c r="W3" s="75"/>
      <x:c r="X3" s="75"/>
      <x:c r="Y3" s="75"/>
      <x:c r="Z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A5" s="96" t="str">
        <x:v>ID</x:v>
      </x:c>
      <x:c r="B5" s="96" t="str">
        <x:v>Decision / Question</x:v>
      </x:c>
      <x:c r="C5" s="96" t="str">
        <x:v>Recommended Decision</x:v>
      </x:c>
      <x:c r="D5" s="96" t="str">
        <x:v>Response</x:v>
      </x:c>
      <x:c r="E5" s="96" t="str">
        <x:v>Final Decision</x:v>
      </x:c>
      <x:c r="F5" s="96" t="str">
        <x:v>Status</x:v>
      </x:c>
      <x:c r="G5" s="96" t="str">
        <x:v>Priority</x:v>
      </x:c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34" customHeight="1">
      <x:c r="A6" s="97" t="str">
        <x:v>A01</x:v>
      </x:c>
      <x:c r="B6" s="97" t="str">
        <x:f>'Approval Register'!D2</x:f>
        <x:v>What will the final guideline be called?</x:v>
      </x:c>
      <x:c r="C6" s="97" t="str">
        <x:f>'Approval Register'!E2</x:f>
        <x:v>GEM™ Brand Guidelines V3.0</x:v>
      </x:c>
      <x:c r="D6" s="97" t="str">
        <x:f>'Approval Register'!F2</x:f>
        <x:v>Approve recommendation</x:v>
      </x:c>
      <x:c r="E6" s="97" t="str">
        <x:f>'Approval Register'!H2</x:f>
        <x:v>GEM™ Brand Guidelines V3.0</x:v>
      </x:c>
      <x:c r="F6" s="97" t="str">
        <x:f>'Approval Register'!I2</x:f>
        <x:v>Approved</x:v>
      </x:c>
      <x:c r="G6" s="97" t="str">
        <x:f>'Approval Register'!J2</x:f>
        <x:v>Critical</x:v>
      </x:c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34" customHeight="1">
      <x:c r="A7" s="97" t="str">
        <x:v>A02</x:v>
      </x:c>
      <x:c r="B7" s="97" t="str">
        <x:f>'Approval Register'!D3</x:f>
        <x:v>Is V3.0 intended to be the first formally approved production release?</x:v>
      </x:c>
      <x:c r="C7" s="97" t="str">
        <x:f>'Approval Register'!E3</x:f>
        <x:v>Yes</x:v>
      </x:c>
      <x:c r="D7" s="97" t="str">
        <x:f>'Approval Register'!F3</x:f>
        <x:v>Approve recommendation</x:v>
      </x:c>
      <x:c r="E7" s="97" t="str">
        <x:f>'Approval Register'!H3</x:f>
        <x:v>Yes</x:v>
      </x:c>
      <x:c r="F7" s="97" t="str">
        <x:f>'Approval Register'!I3</x:f>
        <x:v>Approved</x:v>
      </x:c>
      <x:c r="G7" s="97" t="str">
        <x:f>'Approval Register'!J3</x:f>
        <x:v>Critical</x:v>
      </x:c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34" customHeight="1">
      <x:c r="A8" s="97" t="str">
        <x:v>A03</x:v>
      </x:c>
      <x:c r="B8" s="97" t="str">
        <x:f>'Approval Register'!D4</x:f>
        <x:v>Who is the ultimate Brand Owner with final approval authority?</x:v>
      </x:c>
      <x:c r="C8" s="97" t="str">
        <x:f>'Approval Register'!E4</x:f>
        <x:v>Name one person / role</x:v>
      </x:c>
      <x:c r="D8" s="97" t="str">
        <x:f>'Approval Register'!F4</x:f>
        <x:v>Modify / custom answer</x:v>
      </x:c>
      <x:c r="E8" s="97" t="str">
        <x:f>'Approval Register'!H4</x:f>
        <x:v>Brand Owner — one designated executive/founder-level authority with final approval over the master brand and V3.0 release. Insert the actual name before release.</x:v>
      </x:c>
      <x:c r="F8" s="97" t="str">
        <x:f>'Approval Register'!I4</x:f>
        <x:v>Approved with modification</x:v>
      </x:c>
      <x:c r="G8" s="97" t="str">
        <x:f>'Approval Register'!J4</x:f>
        <x:v>Critical</x:v>
      </x:c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34" customHeight="1">
      <x:c r="A9" s="97" t="str">
        <x:v>A04</x:v>
      </x:c>
      <x:c r="B9" s="97" t="str">
        <x:f>'Approval Register'!D5</x:f>
        <x:v>Who is the Design Custodian responsible for maintaining the system?</x:v>
      </x:c>
      <x:c r="C9" s="97" t="str">
        <x:f>'Approval Register'!E5</x:f>
        <x:v>Name one person / role</x:v>
      </x:c>
      <x:c r="D9" s="97" t="str">
        <x:f>'Approval Register'!F5</x:f>
        <x:v>Modify / custom answer</x:v>
      </x:c>
      <x:c r="E9" s="97" t="str">
        <x:f>'Approval Register'!H5</x:f>
        <x:v>Design Custodian — appointed Brand/Creative Director or senior brand lead responsible for master artwork, applications and controlled deviations. Insert the actual name before release.</x:v>
      </x:c>
      <x:c r="F9" s="97" t="str">
        <x:f>'Approval Register'!I5</x:f>
        <x:v>Approved with modification</x:v>
      </x:c>
      <x:c r="G9" s="97" t="str">
        <x:f>'Approval Register'!J5</x:f>
        <x:v>Critical</x:v>
      </x:c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34" customHeight="1">
      <x:c r="A10" s="97" t="str">
        <x:v>A05</x:v>
      </x:c>
      <x:c r="B10" s="97" t="str">
        <x:f>'Approval Register'!D6</x:f>
        <x:v>Who approves commercial/business claims?</x:v>
      </x:c>
      <x:c r="C10" s="97" t="str">
        <x:f>'Approval Register'!E6</x:f>
        <x:v>Commercial Lead + Brand Owner</x:v>
      </x:c>
      <x:c r="D10" s="97" t="str">
        <x:f>'Approval Register'!F6</x:f>
        <x:v>Approve recommendation</x:v>
      </x:c>
      <x:c r="E10" s="97" t="str">
        <x:f>'Approval Register'!H6</x:f>
        <x:v>Commercial Lead + Brand Owner</x:v>
      </x:c>
      <x:c r="F10" s="97" t="str">
        <x:f>'Approval Register'!I6</x:f>
        <x:v>Approved</x:v>
      </x:c>
      <x:c r="G10" s="97" t="str">
        <x:f>'Approval Register'!J6</x:f>
        <x:v>Critical</x:v>
      </x:c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34" customHeight="1">
      <x:c r="A11" s="97" t="str">
        <x:v>A06</x:v>
      </x:c>
      <x:c r="B11" s="97" t="str">
        <x:f>'Approval Register'!D7</x:f>
        <x:v>Who approves production artwork and packaging?</x:v>
      </x:c>
      <x:c r="C11" s="97" t="str">
        <x:f>'Approval Register'!E7</x:f>
        <x:v>Design Custodian + Procurement/Supplier QA</x:v>
      </x:c>
      <x:c r="D11" s="97" t="str">
        <x:f>'Approval Register'!F7</x:f>
        <x:v>Approve recommendation</x:v>
      </x:c>
      <x:c r="E11" s="97" t="str">
        <x:f>'Approval Register'!H7</x:f>
        <x:v>Design Custodian + Procurement/Supplier QA</x:v>
      </x:c>
      <x:c r="F11" s="97" t="str">
        <x:f>'Approval Register'!I7</x:f>
        <x:v>Approved</x:v>
      </x:c>
      <x:c r="G11" s="97" t="str">
        <x:f>'Approval Register'!J7</x:f>
        <x:v>Critical</x:v>
      </x:c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34" customHeight="1">
      <x:c r="A12" s="97" t="str">
        <x:v>A07</x:v>
      </x:c>
      <x:c r="B12" s="97" t="str">
        <x:f>'Approval Register'!D8</x:f>
        <x:v>Who approves Arabic/localized brand content?</x:v>
      </x:c>
      <x:c r="C12" s="97" t="str">
        <x:f>'Approval Register'!E8</x:f>
        <x:v>Arabic/Localization Lead + Brand Owner</x:v>
      </x:c>
      <x:c r="D12" s="97" t="str">
        <x:f>'Approval Register'!F8</x:f>
        <x:v>Approve recommendation</x:v>
      </x:c>
      <x:c r="E12" s="97" t="str">
        <x:f>'Approval Register'!H8</x:f>
        <x:v>Arabic/Localization Lead + Brand Owner</x:v>
      </x:c>
      <x:c r="F12" s="97" t="str">
        <x:f>'Approval Register'!I8</x:f>
        <x:v>Approved</x:v>
      </x:c>
      <x:c r="G12" s="97" t="str">
        <x:f>'Approval Register'!J8</x:f>
        <x:v>Critical</x:v>
      </x:c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34" customHeight="1">
      <x:c r="A13" s="97" t="str">
        <x:v>A08</x:v>
      </x:c>
      <x:c r="B13" s="97" t="str">
        <x:f>'Approval Register'!D9</x:f>
        <x:v>Who approves accessibility exceptions, if any?</x:v>
      </x:c>
      <x:c r="C13" s="97" t="str">
        <x:f>'Approval Register'!E9</x:f>
        <x:v>Accessibility QA + Brand Owner</x:v>
      </x:c>
      <x:c r="D13" s="97" t="str">
        <x:f>'Approval Register'!F9</x:f>
        <x:v>Approve recommendation</x:v>
      </x:c>
      <x:c r="E13" s="97" t="str">
        <x:f>'Approval Register'!H9</x:f>
        <x:v>Accessibility QA + Brand Owner</x:v>
      </x:c>
      <x:c r="F13" s="97" t="str">
        <x:f>'Approval Register'!I9</x:f>
        <x:v>Approved</x:v>
      </x:c>
      <x:c r="G13" s="97" t="str">
        <x:f>'Approval Register'!J9</x:f>
        <x:v>Critical</x:v>
      </x:c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34" customHeight="1">
      <x:c r="A14" s="97" t="str">
        <x:v>A10</x:v>
      </x:c>
      <x:c r="B14" s="97" t="str">
        <x:f>'Approval Register'!D11</x:f>
        <x:v>Should deviations from V3.0 require written approval?</x:v>
      </x:c>
      <x:c r="C14" s="97" t="str">
        <x:f>'Approval Register'!E11</x:f>
        <x:v>Yes</x:v>
      </x:c>
      <x:c r="D14" s="97" t="str">
        <x:f>'Approval Register'!F11</x:f>
        <x:v>Approve recommendation</x:v>
      </x:c>
      <x:c r="E14" s="97" t="str">
        <x:f>'Approval Register'!H11</x:f>
        <x:v>Yes</x:v>
      </x:c>
      <x:c r="F14" s="97" t="str">
        <x:f>'Approval Register'!I11</x:f>
        <x:v>Approved</x:v>
      </x:c>
      <x:c r="G14" s="97" t="str">
        <x:f>'Approval Register'!J11</x:f>
        <x:v>Critical</x:v>
      </x:c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34" customHeight="1">
      <x:c r="A15" s="97" t="str">
        <x:v>A11</x:v>
      </x:c>
      <x:c r="B15" s="97" t="str">
        <x:f>'Approval Register'!D12</x:f>
        <x:v>Should every released asset carry version/status information?</x:v>
      </x:c>
      <x:c r="C15" s="97" t="str">
        <x:f>'Approval Register'!E12</x:f>
        <x:v>Yes</x:v>
      </x:c>
      <x:c r="D15" s="97" t="str">
        <x:f>'Approval Register'!F12</x:f>
        <x:v>Approve recommendation</x:v>
      </x:c>
      <x:c r="E15" s="97" t="str">
        <x:f>'Approval Register'!H12</x:f>
        <x:v>Yes</x:v>
      </x:c>
      <x:c r="F15" s="97" t="str">
        <x:f>'Approval Register'!I12</x:f>
        <x:v>Approved</x:v>
      </x:c>
      <x:c r="G15" s="97" t="str">
        <x:f>'Approval Register'!J12</x:f>
        <x:v>Critical</x:v>
      </x:c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34" customHeight="1">
      <x:c r="A16" s="97" t="str">
        <x:v>B01</x:v>
      </x:c>
      <x:c r="B16" s="97" t="str">
        <x:f>'Approval Register'!D14</x:f>
        <x:v>Is GEM™ the final master brand name?</x:v>
      </x:c>
      <x:c r="C16" s="97" t="str">
        <x:f>'Approval Register'!E14</x:f>
        <x:v>Yes</x:v>
      </x:c>
      <x:c r="D16" s="97" t="str">
        <x:f>'Approval Register'!F14</x:f>
        <x:v>Approve recommendation</x:v>
      </x:c>
      <x:c r="E16" s="97" t="str">
        <x:f>'Approval Register'!H14</x:f>
        <x:v>Yes</x:v>
      </x:c>
      <x:c r="F16" s="97" t="str">
        <x:f>'Approval Register'!I14</x:f>
        <x:v>Approved</x:v>
      </x:c>
      <x:c r="G16" s="97" t="str">
        <x:f>'Approval Register'!J14</x:f>
        <x:v>Critical</x:v>
      </x:c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 ht="34" customHeight="1">
      <x:c r="A17" s="97" t="str">
        <x:v>B03</x:v>
      </x:c>
      <x:c r="B17" s="97" t="str">
        <x:f>'Approval Register'!D16</x:f>
        <x:v>Is the core brand idea “Every arrival, precisely composed.” approved?</x:v>
      </x:c>
      <x:c r="C17" s="97" t="str">
        <x:f>'Approval Register'!E16</x:f>
        <x:v>Yes</x:v>
      </x:c>
      <x:c r="D17" s="97" t="str">
        <x:f>'Approval Register'!F16</x:f>
        <x:v>Approve recommendation</x:v>
      </x:c>
      <x:c r="E17" s="97" t="str">
        <x:f>'Approval Register'!H16</x:f>
        <x:v>Yes</x:v>
      </x:c>
      <x:c r="F17" s="97" t="str">
        <x:f>'Approval Register'!I16</x:f>
        <x:v>Approved</x:v>
      </x:c>
      <x:c r="G17" s="97" t="str">
        <x:f>'Approval Register'!J16</x:f>
        <x:v>Critical</x:v>
      </x:c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 ht="34" customHeight="1">
      <x:c r="A18" s="97" t="str">
        <x:v>B04</x:v>
      </x:c>
      <x:c r="B18" s="97" t="str">
        <x:f>'Approval Register'!D17</x:f>
        <x:v>Is the primary tagline “HOSPITALITY, IN PERFECT PROPORTION” approved permanently?</x:v>
      </x:c>
      <x:c r="C18" s="97" t="str">
        <x:f>'Approval Register'!E17</x:f>
        <x:v>Yes</x:v>
      </x:c>
      <x:c r="D18" s="97" t="str">
        <x:f>'Approval Register'!F17</x:f>
        <x:v>Approve recommendation</x:v>
      </x:c>
      <x:c r="E18" s="97" t="str">
        <x:f>'Approval Register'!H17</x:f>
        <x:v>Yes</x:v>
      </x:c>
      <x:c r="F18" s="97" t="str">
        <x:f>'Approval Register'!I17</x:f>
        <x:v>Approved</x:v>
      </x:c>
      <x:c r="G18" s="97" t="str">
        <x:f>'Approval Register'!J17</x:f>
        <x:v>Critical</x:v>
      </x:c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 ht="34" customHeight="1">
      <x:c r="A19" s="97" t="str">
        <x:v>B10</x:v>
      </x:c>
      <x:c r="B19" s="97" t="str">
        <x:f>'Approval Register'!D23</x:f>
        <x:v>Confirm core character: Premium · Precise · Geometric · Editorial · Quietly Distinctive · Timeless</x:v>
      </x:c>
      <x:c r="C19" s="97" t="str">
        <x:f>'Approval Register'!E23</x:f>
        <x:v>Approve</x:v>
      </x:c>
      <x:c r="D19" s="97" t="str">
        <x:f>'Approval Register'!F23</x:f>
        <x:v>Approve recommendation</x:v>
      </x:c>
      <x:c r="E19" s="97" t="str">
        <x:f>'Approval Register'!H23</x:f>
        <x:v>Approve</x:v>
      </x:c>
      <x:c r="F19" s="97" t="str">
        <x:f>'Approval Register'!I23</x:f>
        <x:v>Approved</x:v>
      </x:c>
      <x:c r="G19" s="97" t="str">
        <x:f>'Approval Register'!J23</x:f>
        <x:v>Critical</x:v>
      </x:c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 ht="34" customHeight="1">
      <x:c r="A20" s="97" t="str">
        <x:v>C01</x:v>
      </x:c>
      <x:c r="B20" s="97" t="str">
        <x:f>'Approval Register'!D26</x:f>
        <x:v>Is GEM a single master brand?</x:v>
      </x:c>
      <x:c r="C20" s="97" t="str">
        <x:f>'Approval Register'!E26</x:f>
        <x:v>Yes</x:v>
      </x:c>
      <x:c r="D20" s="97" t="str">
        <x:f>'Approval Register'!F26</x:f>
        <x:v>Approve recommendation</x:v>
      </x:c>
      <x:c r="E20" s="97" t="str">
        <x:f>'Approval Register'!H26</x:f>
        <x:v>Yes</x:v>
      </x:c>
      <x:c r="F20" s="97" t="str">
        <x:f>'Approval Register'!I26</x:f>
        <x:v>Approved</x:v>
      </x:c>
      <x:c r="G20" s="97" t="str">
        <x:f>'Approval Register'!J26</x:f>
        <x:v>Critical</x:v>
      </x:c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 ht="34" customHeight="1">
      <x:c r="A21" s="97" t="str">
        <x:v>C02</x:v>
      </x:c>
      <x:c r="B21" s="97" t="str">
        <x:f>'Approval Register'!D27</x:f>
        <x:v>Should Amenities &amp; Packaging exist under GEM?</x:v>
      </x:c>
      <x:c r="C21" s="97" t="str">
        <x:f>'Approval Register'!E27</x:f>
        <x:v>Yes</x:v>
      </x:c>
      <x:c r="D21" s="97" t="str">
        <x:f>'Approval Register'!F27</x:f>
        <x:v>Approve recommendation</x:v>
      </x:c>
      <x:c r="E21" s="97" t="str">
        <x:f>'Approval Register'!H27</x:f>
        <x:v>Yes</x:v>
      </x:c>
      <x:c r="F21" s="97" t="str">
        <x:f>'Approval Register'!I27</x:f>
        <x:v>Approved</x:v>
      </x:c>
      <x:c r="G21" s="97" t="str">
        <x:f>'Approval Register'!J27</x:f>
        <x:v>Critical</x:v>
      </x:c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 ht="34" customHeight="1">
      <x:c r="A22" s="97" t="str">
        <x:v>C03</x:v>
      </x:c>
      <x:c r="B22" s="97" t="str">
        <x:f>'Approval Register'!D28</x:f>
        <x:v>Is Amenities &amp; Packaging a business-stream descriptor rather than a separate sub-brand?</x:v>
      </x:c>
      <x:c r="C22" s="97" t="str">
        <x:f>'Approval Register'!E28</x:f>
        <x:v>Yes</x:v>
      </x:c>
      <x:c r="D22" s="97" t="str">
        <x:f>'Approval Register'!F28</x:f>
        <x:v>Approve recommendation</x:v>
      </x:c>
      <x:c r="E22" s="97" t="str">
        <x:f>'Approval Register'!H28</x:f>
        <x:v>Yes</x:v>
      </x:c>
      <x:c r="F22" s="97" t="str">
        <x:f>'Approval Register'!I28</x:f>
        <x:v>Approved</x:v>
      </x:c>
      <x:c r="G22" s="97" t="str">
        <x:f>'Approval Register'!J28</x:f>
        <x:v>Critical</x:v>
      </x:c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 ht="34" customHeight="1">
      <x:c r="A23" s="97" t="str">
        <x:v>C05</x:v>
      </x:c>
      <x:c r="B23" s="97" t="str">
        <x:f>'Approval Register'!D30</x:f>
        <x:v>Preferred naming format</x:v>
      </x:c>
      <x:c r="C23" s="97" t="str">
        <x:f>'Approval Register'!E30</x:f>
        <x:v>GEM™ — Amenities &amp; Packaging</x:v>
      </x:c>
      <x:c r="D23" s="97" t="str">
        <x:f>'Approval Register'!F30</x:f>
        <x:v>Approve recommendation</x:v>
      </x:c>
      <x:c r="E23" s="97" t="str">
        <x:f>'Approval Register'!H30</x:f>
        <x:v>GEM™ — Amenities &amp; Packaging</x:v>
      </x:c>
      <x:c r="F23" s="97" t="str">
        <x:f>'Approval Register'!I30</x:f>
        <x:v>Approved</x:v>
      </x:c>
      <x:c r="G23" s="97" t="str">
        <x:f>'Approval Register'!J30</x:f>
        <x:v>Critical</x:v>
      </x:c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 ht="34" customHeight="1">
      <x:c r="A24" s="97" t="str">
        <x:v>C08</x:v>
      </x:c>
      <x:c r="B24" s="97" t="str">
        <x:f>'Approval Register'!D33</x:f>
        <x:v>Does GEM serve external hospitality clients, internal properties, or both?</x:v>
      </x:c>
      <x:c r="C24" s="97" t="str">
        <x:f>'Approval Register'!E33</x:f>
        <x:v>Choose: External / Internal / Both</x:v>
      </x:c>
      <x:c r="D24" s="97" t="str">
        <x:f>'Approval Register'!F33</x:f>
        <x:v>Modify / custom answer</x:v>
      </x:c>
      <x:c r="E24" s="97" t="str">
        <x:f>'Approval Register'!H33</x:f>
        <x:v>Primarily external hospitality clients (hotels, resorts and serviced residences). Internal/property use is allowed only if GEM later operates or controls a property.</x:v>
      </x:c>
      <x:c r="F24" s="97" t="str">
        <x:f>'Approval Register'!I33</x:f>
        <x:v>Approved with modification</x:v>
      </x:c>
      <x:c r="G24" s="97" t="str">
        <x:f>'Approval Register'!J33</x:f>
        <x:v>Critical</x:v>
      </x:c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 ht="34" customHeight="1">
      <x:c r="A25" s="97" t="str">
        <x:v>C09</x:v>
      </x:c>
      <x:c r="B25" s="97" t="str">
        <x:f>'Approval Register'!D34</x:f>
        <x:v>Is GEM primarily a hospitality operator, supplier/partner, or both?</x:v>
      </x:c>
      <x:c r="C25" s="97" t="str">
        <x:f>'Approval Register'!E34</x:f>
        <x:v>Needs explicit decision</x:v>
      </x:c>
      <x:c r="D25" s="97" t="str">
        <x:f>'Approval Register'!F34</x:f>
        <x:v>Modify / custom answer</x:v>
      </x:c>
      <x:c r="E25" s="97" t="str">
        <x:f>'Approval Register'!H34</x:f>
        <x:v>GEM is positioned as a hospitality supplier/partner and brand-system owner, not as a hotel operator. Any future operating role requires separate architecture approval.</x:v>
      </x:c>
      <x:c r="F25" s="97" t="str">
        <x:f>'Approval Register'!I34</x:f>
        <x:v>Approved with modification</x:v>
      </x:c>
      <x:c r="G25" s="97" t="str">
        <x:f>'Approval Register'!J34</x:f>
        <x:v>Critical</x:v>
      </x:c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 ht="34" customHeight="1">
      <x:c r="A26" s="97" t="str">
        <x:v>D01</x:v>
      </x:c>
      <x:c r="B26" s="97" t="str">
        <x:f>'Approval Register'!D38</x:f>
        <x:v>Primary geographic market at launch</x:v>
      </x:c>
      <x:c r="C26" s="97" t="str">
        <x:f>'Approval Register'!E38</x:f>
        <x:v>Saudi Arabia / GCC unless wider scope is confirmed</x:v>
      </x:c>
      <x:c r="D26" s="97" t="str">
        <x:f>'Approval Register'!F38</x:f>
        <x:v>Modify / custom answer</x:v>
      </x:c>
      <x:c r="E26" s="97" t="str">
        <x:f>'Approval Register'!H38</x:f>
        <x:v>Saudi Arabia / GCC is the primary launch market. Build the system to be international-ready without implying active service in unverified territories.</x:v>
      </x:c>
      <x:c r="F26" s="97" t="str">
        <x:f>'Approval Register'!I38</x:f>
        <x:v>Approved with modification</x:v>
      </x:c>
      <x:c r="G26" s="97" t="str">
        <x:f>'Approval Register'!J38</x:f>
        <x:v>High</x:v>
      </x:c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 ht="34" customHeight="1">
      <x:c r="A27" s="97" t="str">
        <x:v>D02</x:v>
      </x:c>
      <x:c r="B27" s="97" t="str">
        <x:f>'Approval Register'!D39</x:f>
        <x:v>Is the brand intended for international use?</x:v>
      </x:c>
      <x:c r="C27" s="97" t="str">
        <x:f>'Approval Register'!E39</x:f>
        <x:v>Yes, subject to market/legal requirements</x:v>
      </x:c>
      <x:c r="D27" s="97" t="str">
        <x:f>'Approval Register'!F39</x:f>
        <x:v>Approve recommendation</x:v>
      </x:c>
      <x:c r="E27" s="97" t="str">
        <x:f>'Approval Register'!H39</x:f>
        <x:v>Yes, subject to market/legal requirements</x:v>
      </x:c>
      <x:c r="F27" s="97" t="str">
        <x:f>'Approval Register'!I39</x:f>
        <x:v>Approved</x:v>
      </x:c>
      <x:c r="G27" s="97" t="str">
        <x:f>'Approval Register'!J39</x:f>
        <x:v>High</x:v>
      </x:c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 ht="34" customHeight="1">
      <x:c r="A28" s="97" t="str">
        <x:v>D03</x:v>
      </x:c>
      <x:c r="B28" s="97" t="str">
        <x:f>'Approval Register'!D40</x:f>
        <x:v>Is English the source language for V3.0?</x:v>
      </x:c>
      <x:c r="C28" s="97" t="str">
        <x:f>'Approval Register'!E40</x:f>
        <x:v>Yes</x:v>
      </x:c>
      <x:c r="D28" s="97" t="str">
        <x:f>'Approval Register'!F40</x:f>
        <x:v>Approve recommendation</x:v>
      </x:c>
      <x:c r="E28" s="97" t="str">
        <x:f>'Approval Register'!H40</x:f>
        <x:v>Yes</x:v>
      </x:c>
      <x:c r="F28" s="97" t="str">
        <x:f>'Approval Register'!I40</x:f>
        <x:v>Approved</x:v>
      </x:c>
      <x:c r="G28" s="97" t="str">
        <x:f>'Approval Register'!J40</x:f>
        <x:v>High</x:v>
      </x:c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 ht="34" customHeight="1">
      <x:c r="A29" s="97" t="str">
        <x:v>D04</x:v>
      </x:c>
      <x:c r="B29" s="97" t="str">
        <x:f>'Approval Register'!D41</x:f>
        <x:v>Is Arabic required in the V3.0 release?</x:v>
      </x:c>
      <x:c r="C29" s="97" t="str">
        <x:f>'Approval Register'!E41</x:f>
        <x:v>Yes, if Saudi/GCC deployment is immediate</x:v>
      </x:c>
      <x:c r="D29" s="97" t="str">
        <x:f>'Approval Register'!F41</x:f>
        <x:v>Modify / custom answer</x:v>
      </x:c>
      <x:c r="E29" s="97" t="str">
        <x:f>'Approval Register'!H41</x:f>
        <x:v>Yes — Arabic is required for the Saudi/GCC V3.0 system. Production use remains pending native RTL/localization QA.</x:v>
      </x:c>
      <x:c r="F29" s="97" t="str">
        <x:f>'Approval Register'!I41</x:f>
        <x:v>Approved with modification</x:v>
      </x:c>
      <x:c r="G29" s="97" t="str">
        <x:f>'Approval Register'!J41</x:f>
        <x:v>High</x:v>
      </x:c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 ht="34" customHeight="1">
      <x:c r="A30" s="97" t="str">
        <x:v>E01</x:v>
      </x:c>
      <x:c r="B30" s="97" t="str">
        <x:f>'Approval Register'!D52</x:f>
        <x:v>Does GEM officially provide product/amenity design?</x:v>
      </x:c>
      <x:c r="C30" s="97" t="str">
        <x:f>'Approval Register'!E52</x:f>
        <x:v>Confirm</x:v>
      </x:c>
      <x:c r="D30" s="97" t="str">
        <x:f>'Approval Register'!F52</x:f>
        <x:v>Modify / custom answer</x:v>
      </x:c>
      <x:c r="E30" s="97" t="str">
        <x:f>'Approval Register'!H52</x:f>
        <x:v>Yes — product/amenity design is part of the target Amenities &amp; Packaging offer. External capability claims remain conditional on operational validation.</x:v>
      </x:c>
      <x:c r="F30" s="97" t="str">
        <x:f>'Approval Register'!I52</x:f>
        <x:v>Approved with modification</x:v>
      </x:c>
      <x:c r="G30" s="97" t="str">
        <x:f>'Approval Register'!J52</x:f>
        <x:v>Critical</x:v>
      </x:c>
      <x:c r="H30" s="75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 ht="34" customHeight="1">
      <x:c r="A31" s="97" t="str">
        <x:v>E02</x:v>
      </x:c>
      <x:c r="B31" s="97" t="str">
        <x:f>'Approval Register'!D53</x:f>
        <x:v>Does GEM officially provide packaging design?</x:v>
      </x:c>
      <x:c r="C31" s="97" t="str">
        <x:f>'Approval Register'!E53</x:f>
        <x:v>Confirm</x:v>
      </x:c>
      <x:c r="D31" s="97" t="str">
        <x:f>'Approval Register'!F53</x:f>
        <x:v>Modify / custom answer</x:v>
      </x:c>
      <x:c r="E31" s="97" t="str">
        <x:f>'Approval Register'!H53</x:f>
        <x:v>Yes — packaging design is part of the target Amenities &amp; Packaging offer. External capability claims remain conditional on operational validation.</x:v>
      </x:c>
      <x:c r="F31" s="97" t="str">
        <x:f>'Approval Register'!I53</x:f>
        <x:v>Approved with modification</x:v>
      </x:c>
      <x:c r="G31" s="97" t="str">
        <x:f>'Approval Register'!J53</x:f>
        <x:v>Critical</x:v>
      </x:c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 ht="34" customHeight="1">
      <x:c r="A32" s="97" t="str">
        <x:v>E03</x:v>
      </x:c>
      <x:c r="B32" s="97" t="str">
        <x:f>'Approval Register'!D54</x:f>
        <x:v>Does GEM officially provide product sourcing?</x:v>
      </x:c>
      <x:c r="C32" s="97" t="str">
        <x:f>'Approval Register'!E54</x:f>
        <x:v>Confirm</x:v>
      </x:c>
      <x:c r="D32" s="97" t="str">
        <x:f>'Approval Register'!F54</x:f>
        <x:v>Modify / custom answer</x:v>
      </x:c>
      <x:c r="E32" s="97" t="str">
        <x:f>'Approval Register'!H54</x:f>
        <x:v>Yes — include sourcing/selection as a target capability, without implying owned manufacturing.</x:v>
      </x:c>
      <x:c r="F32" s="97" t="str">
        <x:f>'Approval Register'!I54</x:f>
        <x:v>Approved with modification</x:v>
      </x:c>
      <x:c r="G32" s="97" t="str">
        <x:f>'Approval Register'!J54</x:f>
        <x:v>Critical</x:v>
      </x:c>
      <x:c r="H32" s="75"/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 ht="34" customHeight="1">
      <x:c r="A33" s="97" t="str">
        <x:v>E04</x:v>
      </x:c>
      <x:c r="B33" s="97" t="str">
        <x:f>'Approval Register'!D55</x:f>
        <x:v>Does GEM officially provide product customization?</x:v>
      </x:c>
      <x:c r="C33" s="97" t="str">
        <x:f>'Approval Register'!E55</x:f>
        <x:v>Confirm</x:v>
      </x:c>
      <x:c r="D33" s="97" t="str">
        <x:f>'Approval Register'!F55</x:f>
        <x:v>Modify / custom answer</x:v>
      </x:c>
      <x:c r="E33" s="97" t="str">
        <x:f>'Approval Register'!H55</x:f>
        <x:v>Yes — product and packaging customization is a core target capability.</x:v>
      </x:c>
      <x:c r="F33" s="97" t="str">
        <x:f>'Approval Register'!I55</x:f>
        <x:v>Approved with modification</x:v>
      </x:c>
      <x:c r="G33" s="97" t="str">
        <x:f>'Approval Register'!J55</x:f>
        <x:v>Critical</x:v>
      </x:c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 ht="34" customHeight="1">
      <x:c r="A34" s="97" t="str">
        <x:v>E06</x:v>
      </x:c>
      <x:c r="B34" s="97" t="str">
        <x:f>'Approval Register'!D57</x:f>
        <x:v>Does GEM officially provide manufacturing?</x:v>
      </x:c>
      <x:c r="C34" s="97" t="str">
        <x:f>'Approval Register'!E57</x:f>
        <x:v>Do not claim unless directly true</x:v>
      </x:c>
      <x:c r="D34" s="97" t="str">
        <x:f>'Approval Register'!F57</x:f>
        <x:v>Modify / custom answer</x:v>
      </x:c>
      <x:c r="E34" s="97" t="str">
        <x:f>'Approval Register'!H57</x:f>
        <x:v>No — do not claim GEM is the direct manufacturer unless that becomes demonstrably true. Position GEM as design, sourcing, customization and manufacturing-coordination partner.</x:v>
      </x:c>
      <x:c r="F34" s="97" t="str">
        <x:f>'Approval Register'!I57</x:f>
        <x:v>Approved with modification</x:v>
      </x:c>
      <x:c r="G34" s="97" t="str">
        <x:f>'Approval Register'!J57</x:f>
        <x:v>Critical</x:v>
      </x:c>
      <x:c r="H34" s="75"/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 ht="34" customHeight="1">
      <x:c r="A35" s="97" t="str">
        <x:v>E07</x:v>
      </x:c>
      <x:c r="B35" s="97" t="str">
        <x:f>'Approval Register'!D58</x:f>
        <x:v>Does GEM officially provide manufacturing coordination?</x:v>
      </x:c>
      <x:c r="C35" s="97" t="str">
        <x:f>'Approval Register'!E58</x:f>
        <x:v>Likely more appropriate than “manufacturing” unless verified</x:v>
      </x:c>
      <x:c r="D35" s="97" t="str">
        <x:f>'Approval Register'!F58</x:f>
        <x:v>Modify / custom answer</x:v>
      </x:c>
      <x:c r="E35" s="97" t="str">
        <x:f>'Approval Register'!H58</x:f>
        <x:v>Yes — manufacturing coordination is part of the target offer, subject to supplier capability, contracting and QA evidence.</x:v>
      </x:c>
      <x:c r="F35" s="97" t="str">
        <x:f>'Approval Register'!I58</x:f>
        <x:v>Approved with modification</x:v>
      </x:c>
      <x:c r="G35" s="97" t="str">
        <x:f>'Approval Register'!J58</x:f>
        <x:v>Critical</x:v>
      </x:c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 ht="34" customHeight="1">
      <x:c r="A36" s="97" t="str">
        <x:v>E11</x:v>
      </x:c>
      <x:c r="B36" s="97" t="str">
        <x:f>'Approval Register'!D62</x:f>
        <x:v>Does GEM officially provide distribution?</x:v>
      </x:c>
      <x:c r="C36" s="97" t="str">
        <x:f>'Approval Register'!E62</x:f>
        <x:v>Confirm</x:v>
      </x:c>
      <x:c r="D36" s="97" t="str">
        <x:f>'Approval Register'!F62</x:f>
        <x:v>Modify / custom answer</x:v>
      </x:c>
      <x:c r="E36" s="97" t="str">
        <x:f>'Approval Register'!H62</x:f>
        <x:v>Conditional — distribution/supply coordination may be offered where operationally contracted; do not make an unconditional master-brand claim.</x:v>
      </x:c>
      <x:c r="F36" s="97" t="str">
        <x:f>'Approval Register'!I62</x:f>
        <x:v>Approved with modification</x:v>
      </x:c>
      <x:c r="G36" s="97" t="str">
        <x:f>'Approval Register'!J62</x:f>
        <x:v>Critical</x:v>
      </x:c>
      <x:c r="H36" s="75"/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 ht="34" customHeight="1">
      <x:c r="A37" s="97" t="str">
        <x:v>E12</x:v>
      </x:c>
      <x:c r="B37" s="97" t="str">
        <x:f>'Approval Register'!D63</x:f>
        <x:v>Does GEM officially provide delivery/logistics?</x:v>
      </x:c>
      <x:c r="C37" s="97" t="str">
        <x:f>'Approval Register'!E63</x:f>
        <x:v>Confirm</x:v>
      </x:c>
      <x:c r="D37" s="97" t="str">
        <x:f>'Approval Register'!F63</x:f>
        <x:v>Modify / custom answer</x:v>
      </x:c>
      <x:c r="E37" s="97" t="str">
        <x:f>'Approval Register'!H63</x:f>
        <x:v>Conditional — logistics coordination may be offered, but do not imply owned logistics capability.</x:v>
      </x:c>
      <x:c r="F37" s="97" t="str">
        <x:f>'Approval Register'!I63</x:f>
        <x:v>Approved with modification</x:v>
      </x:c>
      <x:c r="G37" s="97" t="str">
        <x:f>'Approval Register'!J63</x:f>
        <x:v>Critical</x:v>
      </x:c>
      <x:c r="H37" s="75"/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 ht="34" customHeight="1">
      <x:c r="A38" s="97" t="str">
        <x:v>E13</x:v>
      </x:c>
      <x:c r="B38" s="97" t="str">
        <x:f>'Approval Register'!D64</x:f>
        <x:v>Does GEM officially provide replenishment programs?</x:v>
      </x:c>
      <x:c r="C38" s="97" t="str">
        <x:f>'Approval Register'!E64</x:f>
        <x:v>Confirm</x:v>
      </x:c>
      <x:c r="D38" s="97" t="str">
        <x:f>'Approval Register'!F64</x:f>
        <x:v>Modify / custom answer</x:v>
      </x:c>
      <x:c r="E38" s="97" t="str">
        <x:f>'Approval Register'!H64</x:f>
        <x:v>Yes — replenishment programmes are part of the target offer, subject to operational validation.</x:v>
      </x:c>
      <x:c r="F38" s="97" t="str">
        <x:f>'Approval Register'!I64</x:f>
        <x:v>Approved with modification</x:v>
      </x:c>
      <x:c r="G38" s="97" t="str">
        <x:f>'Approval Register'!J64</x:f>
        <x:v>Critical</x:v>
      </x:c>
      <x:c r="H38" s="75"/>
      <x:c r="I38" s="75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 ht="34" customHeight="1">
      <x:c r="A39" s="97" t="str">
        <x:v>E14</x:v>
      </x:c>
      <x:c r="B39" s="97" t="str">
        <x:f>'Approval Register'!D65</x:f>
        <x:v>Does GEM officially provide hotel-specific bespoke programs?</x:v>
      </x:c>
      <x:c r="C39" s="97" t="str">
        <x:f>'Approval Register'!E65</x:f>
        <x:v>Confirm</x:v>
      </x:c>
      <x:c r="D39" s="97" t="str">
        <x:f>'Approval Register'!F65</x:f>
        <x:v>Modify / custom answer</x:v>
      </x:c>
      <x:c r="E39" s="97" t="str">
        <x:f>'Approval Register'!H65</x:f>
        <x:v>Yes — hotel-specific Property Edition / Bespoke programmes are part of the intended offer.</x:v>
      </x:c>
      <x:c r="F39" s="97" t="str">
        <x:f>'Approval Register'!I65</x:f>
        <x:v>Approved with modification</x:v>
      </x:c>
      <x:c r="G39" s="97" t="str">
        <x:f>'Approval Register'!J65</x:f>
        <x:v>Critical</x:v>
      </x:c>
      <x:c r="H39" s="75"/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 ht="34" customHeight="1">
      <x:c r="A40" s="97" t="str">
        <x:v>F03</x:v>
      </x:c>
      <x:c r="B40" s="97" t="str">
        <x:f>'Approval Register'!D74</x:f>
        <x:v>May GEM make sustainability claims?</x:v>
      </x:c>
      <x:c r="C40" s="97" t="str">
        <x:f>'Approval Register'!E74</x:f>
        <x:v>Only product-specific claims with evidence</x:v>
      </x:c>
      <x:c r="D40" s="97" t="str">
        <x:f>'Approval Register'!F74</x:f>
        <x:v>Approve recommendation</x:v>
      </x:c>
      <x:c r="E40" s="97" t="str">
        <x:f>'Approval Register'!H74</x:f>
        <x:v>Only product-specific claims with evidence</x:v>
      </x:c>
      <x:c r="F40" s="97" t="str">
        <x:f>'Approval Register'!I74</x:f>
        <x:v>Approved</x:v>
      </x:c>
      <x:c r="G40" s="97" t="str">
        <x:f>'Approval Register'!J74</x:f>
        <x:v>Critical</x:v>
      </x:c>
      <x:c r="H40" s="75"/>
      <x:c r="I40" s="75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 ht="34" customHeight="1">
      <x:c r="A41" s="97" t="str">
        <x:v>F04</x:v>
      </x:c>
      <x:c r="B41" s="97" t="str">
        <x:f>'Approval Register'!D75</x:f>
        <x:v>May GEM claim recyclable / biodegradable / recycled content?</x:v>
      </x:c>
      <x:c r="C41" s="97" t="str">
        <x:f>'Approval Register'!E75</x:f>
        <x:v>Only with verified supplier/product evidence</x:v>
      </x:c>
      <x:c r="D41" s="97" t="str">
        <x:f>'Approval Register'!F75</x:f>
        <x:v>Approve recommendation</x:v>
      </x:c>
      <x:c r="E41" s="97" t="str">
        <x:f>'Approval Register'!H75</x:f>
        <x:v>Only with verified supplier/product evidence</x:v>
      </x:c>
      <x:c r="F41" s="97" t="str">
        <x:f>'Approval Register'!I75</x:f>
        <x:v>Approved</x:v>
      </x:c>
      <x:c r="G41" s="97" t="str">
        <x:f>'Approval Register'!J75</x:f>
        <x:v>Critical</x:v>
      </x:c>
      <x:c r="H41" s="75"/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 ht="34" customHeight="1">
      <x:c r="A42" s="97" t="str">
        <x:v>F05</x:v>
      </x:c>
      <x:c r="B42" s="97" t="str">
        <x:f>'Approval Register'!D76</x:f>
        <x:v>May GEM make safety/formulation claims?</x:v>
      </x:c>
      <x:c r="C42" s="97" t="str">
        <x:f>'Approval Register'!E76</x:f>
        <x:v>Only with product/regulatory evidence</x:v>
      </x:c>
      <x:c r="D42" s="97" t="str">
        <x:f>'Approval Register'!F76</x:f>
        <x:v>Approve recommendation</x:v>
      </x:c>
      <x:c r="E42" s="97" t="str">
        <x:f>'Approval Register'!H76</x:f>
        <x:v>Only with product/regulatory evidence</x:v>
      </x:c>
      <x:c r="F42" s="97" t="str">
        <x:f>'Approval Register'!I76</x:f>
        <x:v>Approved</x:v>
      </x:c>
      <x:c r="G42" s="97" t="str">
        <x:f>'Approval Register'!J76</x:f>
        <x:v>Critical</x:v>
      </x:c>
      <x:c r="H42" s="75"/>
      <x:c r="I42" s="75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 ht="34" customHeight="1">
      <x:c r="A43" s="97" t="str">
        <x:v>F06</x:v>
      </x:c>
      <x:c r="B43" s="97" t="str">
        <x:f>'Approval Register'!D77</x:f>
        <x:v>May GEM state country of origin?</x:v>
      </x:c>
      <x:c r="C43" s="97" t="str">
        <x:f>'Approval Register'!E77</x:f>
        <x:v>Only verified per SKU</x:v>
      </x:c>
      <x:c r="D43" s="97" t="str">
        <x:f>'Approval Register'!F77</x:f>
        <x:v>Approve recommendation</x:v>
      </x:c>
      <x:c r="E43" s="97" t="str">
        <x:f>'Approval Register'!H77</x:f>
        <x:v>Only verified per SKU</x:v>
      </x:c>
      <x:c r="F43" s="97" t="str">
        <x:f>'Approval Register'!I77</x:f>
        <x:v>Approved</x:v>
      </x:c>
      <x:c r="G43" s="97" t="str">
        <x:f>'Approval Register'!J77</x:f>
        <x:v>Critical</x:v>
      </x:c>
      <x:c r="H43" s="75"/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 ht="34" customHeight="1">
      <x:c r="A44" s="97" t="str">
        <x:v>F07</x:v>
      </x:c>
      <x:c r="B44" s="97" t="str">
        <x:f>'Approval Register'!D78</x:f>
        <x:v>May GEM make performance/durability claims?</x:v>
      </x:c>
      <x:c r="C44" s="97" t="str">
        <x:f>'Approval Register'!E78</x:f>
        <x:v>Only with evidence</x:v>
      </x:c>
      <x:c r="D44" s="97" t="str">
        <x:f>'Approval Register'!F78</x:f>
        <x:v>Approve recommendation</x:v>
      </x:c>
      <x:c r="E44" s="97" t="str">
        <x:f>'Approval Register'!H78</x:f>
        <x:v>Only with evidence</x:v>
      </x:c>
      <x:c r="F44" s="97" t="str">
        <x:f>'Approval Register'!I78</x:f>
        <x:v>Approved</x:v>
      </x:c>
      <x:c r="G44" s="97" t="str">
        <x:f>'Approval Register'!J78</x:f>
        <x:v>Critical</x:v>
      </x:c>
      <x:c r="H44" s="75"/>
      <x:c r="I44" s="75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 ht="34" customHeight="1">
      <x:c r="A45" s="97" t="str">
        <x:v>F10</x:v>
      </x:c>
      <x:c r="B45" s="97" t="str">
        <x:f>'Approval Register'!D81</x:f>
        <x:v>Should claim approval references be retained with final production artwork?</x:v>
      </x:c>
      <x:c r="C45" s="97" t="str">
        <x:f>'Approval Register'!E81</x:f>
        <x:v>Yes</x:v>
      </x:c>
      <x:c r="D45" s="97" t="str">
        <x:f>'Approval Register'!F81</x:f>
        <x:v>Approve recommendation</x:v>
      </x:c>
      <x:c r="E45" s="97" t="str">
        <x:f>'Approval Register'!H81</x:f>
        <x:v>Yes</x:v>
      </x:c>
      <x:c r="F45" s="97" t="str">
        <x:f>'Approval Register'!I81</x:f>
        <x:v>Approved</x:v>
      </x:c>
      <x:c r="G45" s="97" t="str">
        <x:f>'Approval Register'!J81</x:f>
        <x:v>Critical</x:v>
      </x:c>
      <x:c r="H45" s="75"/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 ht="34" customHeight="1">
      <x:c r="A46" s="97" t="str">
        <x:v>H01</x:v>
      </x:c>
      <x:c r="B46" s="97" t="str">
        <x:f>'Approval Register'!D100</x:f>
        <x:v>Is the existing V2 G-ring/spark symbol the final symbol?</x:v>
      </x:c>
      <x:c r="C46" s="97" t="str">
        <x:f>'Approval Register'!E100</x:f>
        <x:v>Yes</x:v>
      </x:c>
      <x:c r="D46" s="97" t="str">
        <x:f>'Approval Register'!F100</x:f>
        <x:v>Approve recommendation</x:v>
      </x:c>
      <x:c r="E46" s="97" t="str">
        <x:f>'Approval Register'!H100</x:f>
        <x:v>Yes</x:v>
      </x:c>
      <x:c r="F46" s="97" t="str">
        <x:f>'Approval Register'!I100</x:f>
        <x:v>Approved</x:v>
      </x:c>
      <x:c r="G46" s="97" t="str">
        <x:f>'Approval Register'!J100</x:f>
        <x:v>Critical</x:v>
      </x:c>
      <x:c r="H46" s="75"/>
      <x:c r="I46" s="75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 ht="34" customHeight="1">
      <x:c r="A47" s="97" t="str">
        <x:v>H02</x:v>
      </x:c>
      <x:c r="B47" s="97" t="str">
        <x:f>'Approval Register'!D101</x:f>
        <x:v>Is the current GEM wordmark final?</x:v>
      </x:c>
      <x:c r="C47" s="97" t="str">
        <x:f>'Approval Register'!E101</x:f>
        <x:v>Yes</x:v>
      </x:c>
      <x:c r="D47" s="97" t="str">
        <x:f>'Approval Register'!F101</x:f>
        <x:v>Approve recommendation</x:v>
      </x:c>
      <x:c r="E47" s="97" t="str">
        <x:f>'Approval Register'!H101</x:f>
        <x:v>Yes</x:v>
      </x:c>
      <x:c r="F47" s="97" t="str">
        <x:f>'Approval Register'!I101</x:f>
        <x:v>Approved</x:v>
      </x:c>
      <x:c r="G47" s="97" t="str">
        <x:f>'Approval Register'!J101</x:f>
        <x:v>Critical</x:v>
      </x:c>
      <x:c r="H47" s="75"/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 ht="34" customHeight="1">
      <x:c r="A48" s="97" t="str">
        <x:v>H16</x:v>
      </x:c>
      <x:c r="B48" s="97" t="str">
        <x:f>'Approval Register'!D115</x:f>
        <x:v>Should the official production masters be rebuilt from approved source geometry only?</x:v>
      </x:c>
      <x:c r="C48" s="97" t="str">
        <x:f>'Approval Register'!E115</x:f>
        <x:v>Yes</x:v>
      </x:c>
      <x:c r="D48" s="97" t="str">
        <x:f>'Approval Register'!F115</x:f>
        <x:v>Approve recommendation</x:v>
      </x:c>
      <x:c r="E48" s="97" t="str">
        <x:f>'Approval Register'!H115</x:f>
        <x:v>Yes</x:v>
      </x:c>
      <x:c r="F48" s="97" t="str">
        <x:f>'Approval Register'!I115</x:f>
        <x:v>Approved</x:v>
      </x:c>
      <x:c r="G48" s="97" t="str">
        <x:f>'Approval Register'!J115</x:f>
        <x:v>Critical</x:v>
      </x:c>
      <x:c r="H48" s="75"/>
      <x:c r="I48" s="75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 ht="34" customHeight="1">
      <x:c r="A49" s="97" t="str">
        <x:v>H17</x:v>
      </x:c>
      <x:c r="B49" s="97" t="str">
        <x:f>'Approval Register'!D116</x:f>
        <x:v>Required master formats</x:v>
      </x:c>
      <x:c r="C49" s="97" t="str">
        <x:f>'Approval Register'!E116</x:f>
        <x:v>SVG · PDF · EPS · PNG</x:v>
      </x:c>
      <x:c r="D49" s="97" t="str">
        <x:f>'Approval Register'!F116</x:f>
        <x:v>Approve recommendation</x:v>
      </x:c>
      <x:c r="E49" s="97" t="str">
        <x:f>'Approval Register'!H116</x:f>
        <x:v>SVG · PDF · EPS · PNG</x:v>
      </x:c>
      <x:c r="F49" s="97" t="str">
        <x:f>'Approval Register'!I116</x:f>
        <x:v>Approved</x:v>
      </x:c>
      <x:c r="G49" s="97" t="str">
        <x:f>'Approval Register'!J116</x:f>
        <x:v>Critical</x:v>
      </x:c>
      <x:c r="H49" s="75"/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 ht="34" customHeight="1">
      <x:c r="A50" s="97" t="str">
        <x:v>J01</x:v>
      </x:c>
      <x:c r="B50" s="97" t="str">
        <x:f>'Approval Register'!D133</x:f>
        <x:v>INK #12171D</x:v>
      </x:c>
      <x:c r="C50" s="97" t="str">
        <x:f>'Approval Register'!E133</x:f>
        <x:v>Approve</x:v>
      </x:c>
      <x:c r="D50" s="97" t="str">
        <x:f>'Approval Register'!F133</x:f>
        <x:v>Approve recommendation</x:v>
      </x:c>
      <x:c r="E50" s="97" t="str">
        <x:f>'Approval Register'!H133</x:f>
        <x:v>Approve</x:v>
      </x:c>
      <x:c r="F50" s="97" t="str">
        <x:f>'Approval Register'!I133</x:f>
        <x:v>Approved</x:v>
      </x:c>
      <x:c r="G50" s="97" t="str">
        <x:f>'Approval Register'!J133</x:f>
        <x:v>Critical</x:v>
      </x:c>
      <x:c r="H50" s="75"/>
      <x:c r="I50" s="75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 ht="34" customHeight="1">
      <x:c r="A51" s="97" t="str">
        <x:v>J02</x:v>
      </x:c>
      <x:c r="B51" s="97" t="str">
        <x:f>'Approval Register'!D134</x:f>
        <x:v>BEIGE #BCACA7</x:v>
      </x:c>
      <x:c r="C51" s="97" t="str">
        <x:f>'Approval Register'!E134</x:f>
        <x:v>Approve</x:v>
      </x:c>
      <x:c r="D51" s="97" t="str">
        <x:f>'Approval Register'!F134</x:f>
        <x:v>Approve recommendation</x:v>
      </x:c>
      <x:c r="E51" s="97" t="str">
        <x:f>'Approval Register'!H134</x:f>
        <x:v>Approve</x:v>
      </x:c>
      <x:c r="F51" s="97" t="str">
        <x:f>'Approval Register'!I134</x:f>
        <x:v>Approved</x:v>
      </x:c>
      <x:c r="G51" s="97" t="str">
        <x:f>'Approval Register'!J134</x:f>
        <x:v>Critical</x:v>
      </x:c>
      <x:c r="H51" s="75"/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 ht="34" customHeight="1">
      <x:c r="A52" s="97" t="str">
        <x:v>J03</x:v>
      </x:c>
      <x:c r="B52" s="97" t="str">
        <x:f>'Approval Register'!D135</x:f>
        <x:v>BLACK #020202</x:v>
      </x:c>
      <x:c r="C52" s="97" t="str">
        <x:f>'Approval Register'!E135</x:f>
        <x:v>Approve</x:v>
      </x:c>
      <x:c r="D52" s="97" t="str">
        <x:f>'Approval Register'!F135</x:f>
        <x:v>Approve recommendation</x:v>
      </x:c>
      <x:c r="E52" s="97" t="str">
        <x:f>'Approval Register'!H135</x:f>
        <x:v>Approve</x:v>
      </x:c>
      <x:c r="F52" s="97" t="str">
        <x:f>'Approval Register'!I135</x:f>
        <x:v>Approved</x:v>
      </x:c>
      <x:c r="G52" s="97" t="str">
        <x:f>'Approval Register'!J135</x:f>
        <x:v>Critical</x:v>
      </x:c>
      <x:c r="H52" s="75"/>
      <x:c r="I52" s="75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 ht="34" customHeight="1">
      <x:c r="A53" s="97" t="str">
        <x:v>J04</x:v>
      </x:c>
      <x:c r="B53" s="97" t="str">
        <x:f>'Approval Register'!D136</x:f>
        <x:v>WHITE #FFFFFF</x:v>
      </x:c>
      <x:c r="C53" s="97" t="str">
        <x:f>'Approval Register'!E136</x:f>
        <x:v>Approve</x:v>
      </x:c>
      <x:c r="D53" s="97" t="str">
        <x:f>'Approval Register'!F136</x:f>
        <x:v>Approve recommendation</x:v>
      </x:c>
      <x:c r="E53" s="97" t="str">
        <x:f>'Approval Register'!H136</x:f>
        <x:v>Approve</x:v>
      </x:c>
      <x:c r="F53" s="97" t="str">
        <x:f>'Approval Register'!I136</x:f>
        <x:v>Approved</x:v>
      </x:c>
      <x:c r="G53" s="97" t="str">
        <x:f>'Approval Register'!J136</x:f>
        <x:v>Critical</x:v>
      </x:c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 ht="34" customHeight="1">
      <x:c r="A54" s="97" t="str">
        <x:v>L01</x:v>
      </x:c>
      <x:c r="B54" s="97" t="str">
        <x:f>'Approval Register'!D158</x:f>
        <x:v>Approve Jost as the final primary display and headline family for V3.0?</x:v>
      </x:c>
      <x:c r="C54" s="97" t="str">
        <x:f>'Approval Register'!E158</x:f>
        <x:v>Yes — Jost is the working Design System standard for display/headings; freeze the exact font build and weights for release.</x:v>
      </x:c>
      <x:c r="D54" s="97" t="str">
        <x:f>'Approval Register'!F158</x:f>
        <x:v>Approve recommendation</x:v>
      </x:c>
      <x:c r="E54" s="97" t="str">
        <x:f>'Approval Register'!H158</x:f>
        <x:v>Yes — Jost is the working Design System standard for display/headings; freeze the exact font build and weights for release.</x:v>
      </x:c>
      <x:c r="F54" s="97" t="str">
        <x:f>'Approval Register'!I158</x:f>
        <x:v>Approved</x:v>
      </x:c>
      <x:c r="G54" s="97" t="str">
        <x:f>'Approval Register'!J158</x:f>
        <x:v>Critical</x:v>
      </x:c>
      <x:c r="H54" s="75"/>
      <x:c r="I54" s="75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 ht="34" customHeight="1">
      <x:c r="A55" s="97" t="str">
        <x:v>L04</x:v>
      </x:c>
      <x:c r="B55" s="97" t="str">
        <x:f>'Approval Register'!D161</x:f>
        <x:v>Should V3.0 standardize on one two-family Latin architecture?</x:v>
      </x:c>
      <x:c r="C55" s="97" t="str">
        <x:f>'Approval Register'!E161</x:f>
        <x:v>Yes — Jost for display/headings + Inter for body/UI/office.</x:v>
      </x:c>
      <x:c r="D55" s="97" t="str">
        <x:f>'Approval Register'!F161</x:f>
        <x:v>Approve recommendation</x:v>
      </x:c>
      <x:c r="E55" s="97" t="str">
        <x:f>'Approval Register'!H161</x:f>
        <x:v>Yes — Jost for display/headings + Inter for body/UI/office.</x:v>
      </x:c>
      <x:c r="F55" s="97" t="str">
        <x:f>'Approval Register'!I161</x:f>
        <x:v>Approved</x:v>
      </x:c>
      <x:c r="G55" s="97" t="str">
        <x:f>'Approval Register'!J161</x:f>
        <x:v>Critical</x:v>
      </x:c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 ht="34" customHeight="1">
      <x:c r="A56" s="97" t="str">
        <x:v>L05</x:v>
      </x:c>
      <x:c r="B56" s="97" t="str">
        <x:f>'Approval Register'!D162</x:f>
        <x:v>Should Inter be the web/UI body and label standard?</x:v>
      </x:c>
      <x:c r="C56" s="97" t="str">
        <x:f>'Approval Register'!E162</x:f>
        <x:v>Yes.</x:v>
      </x:c>
      <x:c r="D56" s="97" t="str">
        <x:f>'Approval Register'!F162</x:f>
        <x:v>Approve recommendation</x:v>
      </x:c>
      <x:c r="E56" s="97" t="str">
        <x:f>'Approval Register'!H162</x:f>
        <x:v>Yes.</x:v>
      </x:c>
      <x:c r="F56" s="97" t="str">
        <x:f>'Approval Register'!I162</x:f>
        <x:v>Approved</x:v>
      </x:c>
      <x:c r="G56" s="97" t="str">
        <x:f>'Approval Register'!J162</x:f>
        <x:v>Critical</x:v>
      </x:c>
      <x:c r="H56" s="75"/>
      <x:c r="I56" s="75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 ht="34" customHeight="1">
      <x:c r="A57" s="97" t="str">
        <x:v>M01</x:v>
      </x:c>
      <x:c r="B57" s="97" t="str">
        <x:f>'Approval Register'!D174</x:f>
        <x:v>What is the Arabic release status for V3.0?</x:v>
      </x:c>
      <x:c r="C57" s="97" t="str">
        <x:f>'Approval Register'!E174</x:f>
        <x:v>Either fully approve Arabic after native localization/RTL QA, or publish it as clearly Deferred / Pending Validation — not as an implied production-ready system.</x:v>
      </x:c>
      <x:c r="D57" s="97" t="str">
        <x:f>'Approval Register'!F174</x:f>
        <x:v>Modify / custom answer</x:v>
      </x:c>
      <x:c r="E57" s="97" t="str">
        <x:f>'Approval Register'!H174</x:f>
        <x:v>Arabic is required in V3.0 for Saudi/GCC use, but its release status remains PENDING VALIDATION until native RTL, localization, mixed-language and accessibility QA passes.</x:v>
      </x:c>
      <x:c r="F57" s="97" t="str">
        <x:f>'Approval Register'!I174</x:f>
        <x:v>Approved with modification</x:v>
      </x:c>
      <x:c r="G57" s="97" t="str">
        <x:f>'Approval Register'!J174</x:f>
        <x:v>Critical</x:v>
      </x:c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 ht="34" customHeight="1">
      <x:c r="A58" s="97" t="str">
        <x:v>M02</x:v>
      </x:c>
      <x:c r="B58" s="97" t="str">
        <x:f>'Approval Register'!D175</x:f>
        <x:v>Interim Arabic family</x:v>
      </x:c>
      <x:c r="C58" s="97" t="str">
        <x:f>'Approval Register'!E175</x:f>
        <x:v>Noto Sans Arabic unless another family is selected and licensed</x:v>
      </x:c>
      <x:c r="D58" s="97" t="str">
        <x:f>'Approval Register'!F175</x:f>
        <x:v>Approve recommendation</x:v>
      </x:c>
      <x:c r="E58" s="97" t="str">
        <x:f>'Approval Register'!H175</x:f>
        <x:v>Noto Sans Arabic unless another family is selected and licensed</x:v>
      </x:c>
      <x:c r="F58" s="97" t="str">
        <x:f>'Approval Register'!I175</x:f>
        <x:v>Approved</x:v>
      </x:c>
      <x:c r="G58" s="97" t="str">
        <x:f>'Approval Register'!J175</x:f>
        <x:v>Critical</x:v>
      </x:c>
      <x:c r="H58" s="75"/>
      <x:c r="I58" s="75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 ht="34" customHeight="1">
      <x:c r="A59" s="97" t="str">
        <x:v>M03</x:v>
      </x:c>
      <x:c r="B59" s="97" t="str">
        <x:f>'Approval Register'!D176</x:f>
        <x:v>Should a premium Arabic brand typeface be evaluated before final release?</x:v>
      </x:c>
      <x:c r="C59" s="97" t="str">
        <x:f>'Approval Register'!E176</x:f>
        <x:v>Yes</x:v>
      </x:c>
      <x:c r="D59" s="97" t="str">
        <x:f>'Approval Register'!F176</x:f>
        <x:v>Approve recommendation</x:v>
      </x:c>
      <x:c r="E59" s="97" t="str">
        <x:f>'Approval Register'!H176</x:f>
        <x:v>Yes</x:v>
      </x:c>
      <x:c r="F59" s="97" t="str">
        <x:f>'Approval Register'!I176</x:f>
        <x:v>Approved</x:v>
      </x:c>
      <x:c r="G59" s="97" t="str">
        <x:f>'Approval Register'!J176</x:f>
        <x:v>Critical</x:v>
      </x:c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 ht="34" customHeight="1">
      <x:c r="A60" s="97" t="str">
        <x:v>M11</x:v>
      </x:c>
      <x:c r="B60" s="97" t="str">
        <x:f>'Approval Register'!D184</x:f>
        <x:v>Arabic numerals policy</x:v>
      </x:c>
      <x:c r="C60" s="97" t="str">
        <x:f>'Approval Register'!E184</x:f>
        <x:v>Choose Western 0–9 / Arabic-Indic / contextual</x:v>
      </x:c>
      <x:c r="D60" s="97" t="str">
        <x:f>'Approval Register'!F184</x:f>
        <x:v>Modify / custom answer</x:v>
      </x:c>
      <x:c r="E60" s="97" t="str">
        <x:f>'Approval Register'!H184</x:f>
        <x:v>Use contextual numerals by locale. Arabic-facing guest copy may use Arabic-Indic numerals where appropriate; keep Latin 0–9 for SKUs, codes, URLs, phone/technical identifiers and cross-system references unless local policy requires otherwise.</x:v>
      </x:c>
      <x:c r="F60" s="97" t="str">
        <x:f>'Approval Register'!I184</x:f>
        <x:v>Approved with modification</x:v>
      </x:c>
      <x:c r="G60" s="97" t="str">
        <x:f>'Approval Register'!J184</x:f>
        <x:v>Critical</x:v>
      </x:c>
      <x:c r="H60" s="75"/>
      <x:c r="I60" s="75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 ht="34" customHeight="1">
      <x:c r="A61" s="97" t="str">
        <x:v>M16</x:v>
      </x:c>
      <x:c r="B61" s="97" t="str">
        <x:f>'Approval Register'!D189</x:f>
        <x:v>Should professional Arabic copyediting be mandatory before release?</x:v>
      </x:c>
      <x:c r="C61" s="97" t="str">
        <x:f>'Approval Register'!E189</x:f>
        <x:v>Yes</x:v>
      </x:c>
      <x:c r="D61" s="97" t="str">
        <x:f>'Approval Register'!F189</x:f>
        <x:v>Approve recommendation</x:v>
      </x:c>
      <x:c r="E61" s="97" t="str">
        <x:f>'Approval Register'!H189</x:f>
        <x:v>Yes</x:v>
      </x:c>
      <x:c r="F61" s="97" t="str">
        <x:f>'Approval Register'!I189</x:f>
        <x:v>Approved</x:v>
      </x:c>
      <x:c r="G61" s="97" t="str">
        <x:f>'Approval Register'!J189</x:f>
        <x:v>Critical</x:v>
      </x:c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 ht="34" customHeight="1">
      <x:c r="A62" s="97" t="str">
        <x:v>T01</x:v>
      </x:c>
      <x:c r="B62" s="97" t="str">
        <x:f>'Approval Register'!D288</x:f>
        <x:v>Is Amenities &amp; Packaging approved as an active V3.0 business stream?</x:v>
      </x:c>
      <x:c r="C62" s="97" t="str">
        <x:f>'Approval Register'!E288</x:f>
        <x:v>Approve only after commercial scope is confirmed; until then keep it explicitly proposed, as the current Design System does.</x:v>
      </x:c>
      <x:c r="D62" s="97" t="str">
        <x:f>'Approval Register'!F288</x:f>
        <x:v>Modify / custom answer</x:v>
      </x:c>
      <x:c r="E62" s="97" t="str">
        <x:f>'Approval Register'!H288</x:f>
        <x:v>Approve Amenities &amp; Packaging as the primary B2B business stream under GEM for V3.0. Public capability claims remain CONDITIONAL until commercial/operational validation is complete.</x:v>
      </x:c>
      <x:c r="F62" s="97" t="str">
        <x:f>'Approval Register'!I288</x:f>
        <x:v>Approved with modification</x:v>
      </x:c>
      <x:c r="G62" s="97" t="str">
        <x:f>'Approval Register'!J288</x:f>
        <x:v>Critical</x:v>
      </x:c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 ht="34" customHeight="1">
      <x:c r="A63" s="97" t="str">
        <x:v>T02</x:v>
      </x:c>
      <x:c r="B63" s="97" t="str">
        <x:f>'Approval Register'!D289</x:f>
        <x:v>Select first pilot product family</x:v>
      </x:c>
      <x:c r="C63" s="97" t="str">
        <x:f>'Approval Register'!E289</x:f>
        <x:v>Bath/body amenity family</x:v>
      </x:c>
      <x:c r="D63" s="97" t="str">
        <x:f>'Approval Register'!F289</x:f>
        <x:v>Approve recommendation</x:v>
      </x:c>
      <x:c r="E63" s="97" t="str">
        <x:f>'Approval Register'!H289</x:f>
        <x:v>Bath/body amenity family</x:v>
      </x:c>
      <x:c r="F63" s="97" t="str">
        <x:f>'Approval Register'!I289</x:f>
        <x:v>Approved</x:v>
      </x:c>
      <x:c r="G63" s="97" t="str">
        <x:f>'Approval Register'!J289</x:f>
        <x:v>Critical</x:v>
      </x:c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 ht="34" customHeight="1">
      <x:c r="A64" s="97" t="str">
        <x:v>T17</x:v>
      </x:c>
      <x:c r="B64" s="97" t="str">
        <x:f>'Approval Register'!D304</x:f>
        <x:v>Physical proof required?</x:v>
      </x:c>
      <x:c r="C64" s="97" t="str">
        <x:f>'Approval Register'!E304</x:f>
        <x:v>Yes</x:v>
      </x:c>
      <x:c r="D64" s="97" t="str">
        <x:f>'Approval Register'!F304</x:f>
        <x:v>Approve recommendation</x:v>
      </x:c>
      <x:c r="E64" s="97" t="str">
        <x:f>'Approval Register'!H304</x:f>
        <x:v>Yes</x:v>
      </x:c>
      <x:c r="F64" s="97" t="str">
        <x:f>'Approval Register'!I304</x:f>
        <x:v>Approved</x:v>
      </x:c>
      <x:c r="G64" s="97" t="str">
        <x:f>'Approval Register'!J304</x:f>
        <x:v>Critical</x:v>
      </x:c>
      <x:c r="H64" s="75"/>
      <x:c r="I64" s="75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 ht="34" customHeight="1">
      <x:c r="A65" s="97" t="str">
        <x:v>T20</x:v>
      </x:c>
      <x:c r="B65" s="97" t="str">
        <x:f>'Approval Register'!D307</x:f>
        <x:v>Supplier acceptance/signature required?</x:v>
      </x:c>
      <x:c r="C65" s="97" t="str">
        <x:f>'Approval Register'!E307</x:f>
        <x:v>Yes</x:v>
      </x:c>
      <x:c r="D65" s="97" t="str">
        <x:f>'Approval Register'!F307</x:f>
        <x:v>Approve recommendation</x:v>
      </x:c>
      <x:c r="E65" s="97" t="str">
        <x:f>'Approval Register'!H307</x:f>
        <x:v>Yes</x:v>
      </x:c>
      <x:c r="F65" s="97" t="str">
        <x:f>'Approval Register'!I307</x:f>
        <x:v>Approved</x:v>
      </x:c>
      <x:c r="G65" s="97" t="str">
        <x:f>'Approval Register'!J307</x:f>
        <x:v>Critical</x:v>
      </x:c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 ht="34" customHeight="1">
      <x:c r="A66" s="97" t="str">
        <x:v>T21</x:v>
      </x:c>
      <x:c r="B66" s="97" t="str">
        <x:f>'Approval Register'!D308</x:f>
        <x:v>Brand sign-off required before mass production?</x:v>
      </x:c>
      <x:c r="C66" s="97" t="str">
        <x:f>'Approval Register'!E308</x:f>
        <x:v>Yes</x:v>
      </x:c>
      <x:c r="D66" s="97" t="str">
        <x:f>'Approval Register'!F308</x:f>
        <x:v>Approve recommendation</x:v>
      </x:c>
      <x:c r="E66" s="97" t="str">
        <x:f>'Approval Register'!H308</x:f>
        <x:v>Yes</x:v>
      </x:c>
      <x:c r="F66" s="97" t="str">
        <x:f>'Approval Register'!I308</x:f>
        <x:v>Approved</x:v>
      </x:c>
      <x:c r="G66" s="97" t="str">
        <x:f>'Approval Register'!J308</x:f>
        <x:v>Critical</x:v>
      </x:c>
      <x:c r="H66" s="75"/>
      <x:c r="I66" s="75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 ht="34" customHeight="1">
      <x:c r="A67" s="97" t="str">
        <x:v>V01</x:v>
      </x:c>
      <x:c r="B67" s="97" t="str">
        <x:f>'Approval Register'!D324</x:f>
        <x:v>Digital target</x:v>
      </x:c>
      <x:c r="C67" s="97" t="str">
        <x:f>'Approval Register'!E324</x:f>
        <x:v>WCAG 2.2 AA</x:v>
      </x:c>
      <x:c r="D67" s="97" t="str">
        <x:f>'Approval Register'!F324</x:f>
        <x:v>Approve recommendation</x:v>
      </x:c>
      <x:c r="E67" s="97" t="str">
        <x:f>'Approval Register'!H324</x:f>
        <x:v>WCAG 2.2 AA</x:v>
      </x:c>
      <x:c r="F67" s="97" t="str">
        <x:f>'Approval Register'!I324</x:f>
        <x:v>Approved</x:v>
      </x:c>
      <x:c r="G67" s="97" t="str">
        <x:f>'Approval Register'!J324</x:f>
        <x:v>Critical</x:v>
      </x:c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 ht="34" customHeight="1">
      <x:c r="A68" s="97" t="str">
        <x:v>V14</x:v>
      </x:c>
      <x:c r="B68" s="97" t="str">
        <x:f>'Approval Register'!D337</x:f>
        <x:v>Arabic screen-reader/reading-order QA</x:v>
      </x:c>
      <x:c r="C68" s="97" t="str">
        <x:f>'Approval Register'!E337</x:f>
        <x:v>Required</x:v>
      </x:c>
      <x:c r="D68" s="97" t="str">
        <x:f>'Approval Register'!F337</x:f>
        <x:v>Approve recommendation</x:v>
      </x:c>
      <x:c r="E68" s="97" t="str">
        <x:f>'Approval Register'!H337</x:f>
        <x:v>Required</x:v>
      </x:c>
      <x:c r="F68" s="97" t="str">
        <x:f>'Approval Register'!I337</x:f>
        <x:v>Approved</x:v>
      </x:c>
      <x:c r="G68" s="97" t="str">
        <x:f>'Approval Register'!J337</x:f>
        <x:v>Critical</x:v>
      </x:c>
      <x:c r="H68" s="75"/>
      <x:c r="I68" s="75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 ht="34" customHeight="1">
      <x:c r="A69" s="97" t="str">
        <x:v>Y01</x:v>
      </x:c>
      <x:c r="B69" s="97" t="str">
        <x:f>'Approval Register'!D369</x:f>
        <x:v>Has GEM™ trademark availability/registration been legally reviewed in target markets?</x:v>
      </x:c>
      <x:c r="C69" s="97" t="str">
        <x:f>'Approval Register'!E369</x:f>
        <x:v>Confirm / commission legal review</x:v>
      </x:c>
      <x:c r="D69" s="97" t="str">
        <x:f>'Approval Register'!F369</x:f>
        <x:v>Needs evidence</x:v>
      </x:c>
      <x:c r="E69" s="97" t="str">
        <x:f>'Approval Register'!H369</x:f>
        <x:v>Pending evidence</x:v>
      </x:c>
      <x:c r="F69" s="97" t="str">
        <x:f>'Approval Register'!I369</x:f>
        <x:v>Evidence Required</x:v>
      </x:c>
      <x:c r="G69" s="97" t="str">
        <x:f>'Approval Register'!J369</x:f>
        <x:v>Critical</x:v>
      </x:c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 ht="34" customHeight="1">
      <x:c r="A70" s="97" t="str">
        <x:v>Y02</x:v>
      </x:c>
      <x:c r="B70" s="97" t="str">
        <x:f>'Approval Register'!D370</x:f>
        <x:v>Is ownership of the logo artwork documented?</x:v>
      </x:c>
      <x:c r="C70" s="97" t="str">
        <x:f>'Approval Register'!E370</x:f>
        <x:v>Must be confirmed</x:v>
      </x:c>
      <x:c r="D70" s="97" t="str">
        <x:f>'Approval Register'!F370</x:f>
        <x:v>Needs evidence</x:v>
      </x:c>
      <x:c r="E70" s="97" t="str">
        <x:f>'Approval Register'!H370</x:f>
        <x:v>Pending evidence</x:v>
      </x:c>
      <x:c r="F70" s="97" t="str">
        <x:f>'Approval Register'!I370</x:f>
        <x:v>Evidence Required</x:v>
      </x:c>
      <x:c r="G70" s="97" t="str">
        <x:f>'Approval Register'!J370</x:f>
        <x:v>Critical</x:v>
      </x:c>
      <x:c r="H70" s="75"/>
      <x:c r="I70" s="75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 ht="34" customHeight="1">
      <x:c r="A71" s="97" t="str">
        <x:v>Y03</x:v>
      </x:c>
      <x:c r="B71" s="97" t="str">
        <x:f>'Approval Register'!D371</x:f>
        <x:v>Are all font licenses adequate for intended print/web/app use?</x:v>
      </x:c>
      <x:c r="C71" s="97" t="str">
        <x:f>'Approval Register'!E371</x:f>
        <x:v>Must be confirmed</x:v>
      </x:c>
      <x:c r="D71" s="97" t="str">
        <x:f>'Approval Register'!F371</x:f>
        <x:v>Needs evidence</x:v>
      </x:c>
      <x:c r="E71" s="97" t="str">
        <x:f>'Approval Register'!H371</x:f>
        <x:v>Pending evidence</x:v>
      </x:c>
      <x:c r="F71" s="97" t="str">
        <x:f>'Approval Register'!I371</x:f>
        <x:v>Evidence Required</x:v>
      </x:c>
      <x:c r="G71" s="97" t="str">
        <x:f>'Approval Register'!J371</x:f>
        <x:v>Critical</x:v>
      </x:c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 ht="34" customHeight="1">
      <x:c r="A72" s="97" t="str">
        <x:v>Y04</x:v>
      </x:c>
      <x:c r="B72" s="97" t="str">
        <x:f>'Approval Register'!D372</x:f>
        <x:v>Are image/model/property rights documented?</x:v>
      </x:c>
      <x:c r="C72" s="97" t="str">
        <x:f>'Approval Register'!E372</x:f>
        <x:v>Required</x:v>
      </x:c>
      <x:c r="D72" s="97" t="str">
        <x:f>'Approval Register'!F372</x:f>
        <x:v>Needs evidence</x:v>
      </x:c>
      <x:c r="E72" s="97" t="str">
        <x:f>'Approval Register'!H372</x:f>
        <x:v>Pending evidence</x:v>
      </x:c>
      <x:c r="F72" s="97" t="str">
        <x:f>'Approval Register'!I372</x:f>
        <x:v>Evidence Required</x:v>
      </x:c>
      <x:c r="G72" s="97" t="str">
        <x:f>'Approval Register'!J372</x:f>
        <x:v>Critical</x:v>
      </x:c>
      <x:c r="H72" s="75"/>
      <x:c r="I72" s="75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 ht="34" customHeight="1">
      <x:c r="A73" s="97" t="str">
        <x:v>RF01</x:v>
      </x:c>
      <x:c r="B73" s="97" t="str">
        <x:f>'Approval Register'!D445</x:f>
        <x:v>Should external inspiration libraries be treated as references/benchmarks rather than authoritative GEM standards?</x:v>
      </x:c>
      <x:c r="C73" s="97" t="str">
        <x:f>'Approval Register'!E445</x:f>
        <x:v>Yes — they inform quality and best practice, but GEM-approved decisions remain authoritative.</x:v>
      </x:c>
      <x:c r="D73" s="97" t="str">
        <x:f>'Approval Register'!F445</x:f>
        <x:v>Approve recommendation</x:v>
      </x:c>
      <x:c r="E73" s="97" t="str">
        <x:f>'Approval Register'!H445</x:f>
        <x:v>Yes — they inform quality and best practice, but GEM-approved decisions remain authoritative.</x:v>
      </x:c>
      <x:c r="F73" s="97" t="str">
        <x:f>'Approval Register'!I445</x:f>
        <x:v>Approved</x:v>
      </x:c>
      <x:c r="G73" s="97" t="str">
        <x:f>'Approval Register'!J445</x:f>
        <x:v>High</x:v>
      </x:c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 ht="34" customHeight="1">
      <x:c r="A74" s="97" t="str">
        <x:v>RF02</x:v>
      </x:c>
      <x:c r="B74" s="97" t="str">
        <x:f>'Approval Register'!D446</x:f>
        <x:v>Should V3.0 distinguish formal technical standards from curated inspiration/benchmark libraries?</x:v>
      </x:c>
      <x:c r="C74" s="97" t="str">
        <x:f>'Approval Register'!E446</x:f>
        <x:v>Yes — maintain an explicit source hierarchy.</x:v>
      </x:c>
      <x:c r="D74" s="97" t="str">
        <x:f>'Approval Register'!F446</x:f>
        <x:v>Approve recommendation</x:v>
      </x:c>
      <x:c r="E74" s="97" t="str">
        <x:f>'Approval Register'!H446</x:f>
        <x:v>Yes — maintain an explicit source hierarchy.</x:v>
      </x:c>
      <x:c r="F74" s="97" t="str">
        <x:f>'Approval Register'!I446</x:f>
        <x:v>Approved</x:v>
      </x:c>
      <x:c r="G74" s="97" t="str">
        <x:f>'Approval Register'!J446</x:f>
        <x:v>High</x:v>
      </x:c>
      <x:c r="H74" s="75"/>
      <x:c r="I74" s="75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 ht="34" customHeight="1">
      <x:c r="A75" s="97" t="str">
        <x:v>RF05</x:v>
      </x:c>
      <x:c r="B75" s="97" t="str">
        <x:f>'Approval Register'!D449</x:f>
        <x:v>Should V3.0 be usability-tested by at least one designer/operator who did not create it?</x:v>
      </x:c>
      <x:c r="C75" s="97" t="str">
        <x:f>'Approval Register'!E449</x:f>
        <x:v>Yes — they should complete representative tasks using the guideline alone.</x:v>
      </x:c>
      <x:c r="D75" s="97" t="str">
        <x:f>'Approval Register'!F449</x:f>
        <x:v>Approve recommendation</x:v>
      </x:c>
      <x:c r="E75" s="97" t="str">
        <x:f>'Approval Register'!H449</x:f>
        <x:v>Yes — they should complete representative tasks using the guideline alone.</x:v>
      </x:c>
      <x:c r="F75" s="97" t="str">
        <x:f>'Approval Register'!I449</x:f>
        <x:v>Approved</x:v>
      </x:c>
      <x:c r="G75" s="97" t="str">
        <x:f>'Approval Register'!J449</x:f>
        <x:v>High</x:v>
      </x:c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 ht="34" customHeight="1">
      <x:c r="A76" s="97" t="str">
        <x:v>RF08</x:v>
      </x:c>
      <x:c r="B76" s="97" t="str">
        <x:f>'Approval Register'!D452</x:f>
        <x:v>Should V3.0 explicitly separate immutable global brand rules from locally adaptable Saudi/GCC/Arabic implementation rules?</x:v>
      </x:c>
      <x:c r="C76" s="97" t="str">
        <x:f>'Approval Register'!E452</x:f>
        <x:v>Yes.</x:v>
      </x:c>
      <x:c r="D76" s="97" t="str">
        <x:f>'Approval Register'!F452</x:f>
        <x:v>Approve recommendation</x:v>
      </x:c>
      <x:c r="E76" s="97" t="str">
        <x:f>'Approval Register'!H452</x:f>
        <x:v>Yes.</x:v>
      </x:c>
      <x:c r="F76" s="97" t="str">
        <x:f>'Approval Register'!I452</x:f>
        <x:v>Approved</x:v>
      </x:c>
      <x:c r="G76" s="97" t="str">
        <x:f>'Approval Register'!J452</x:f>
        <x:v>High</x:v>
      </x:c>
      <x:c r="H76" s="75"/>
      <x:c r="I76" s="75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 ht="34" customHeight="1">
      <x:c r="A77" s="97" t="str">
        <x:v>RF10</x:v>
      </x:c>
      <x:c r="B77" s="97" t="str">
        <x:f>'Approval Register'!D454</x:f>
        <x:v>Should the approved GEM mark undergo a documented similarity/distinctiveness benchmark before final release?</x:v>
      </x:c>
      <x:c r="C77" s="97" t="str">
        <x:f>'Approval Register'!E454</x:f>
        <x:v>Yes — benchmark category adjacency and then complete legal/trademark clearance separately.</x:v>
      </x:c>
      <x:c r="D77" s="97" t="str">
        <x:f>'Approval Register'!F454</x:f>
        <x:v>Approve recommendation</x:v>
      </x:c>
      <x:c r="E77" s="97" t="str">
        <x:f>'Approval Register'!H454</x:f>
        <x:v>Yes — benchmark category adjacency and then complete legal/trademark clearance separately.</x:v>
      </x:c>
      <x:c r="F77" s="97" t="str">
        <x:f>'Approval Register'!I454</x:f>
        <x:v>Approved</x:v>
      </x:c>
      <x:c r="G77" s="97" t="str">
        <x:f>'Approval Register'!J454</x:f>
        <x:v>High</x:v>
      </x:c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 ht="34" customHeight="1">
      <x:c r="A78" s="97" t="str">
        <x:v>AC20</x:v>
      </x:c>
      <x:c r="B78" s="97" t="str">
        <x:f>'Approval Register'!D444</x:f>
        <x:v>Brand Owner authorizes GEM™ Brand Guidelines V3.0 for release</x:v>
      </x:c>
      <x:c r="C78" s="97" t="str">
        <x:f>'Approval Register'!E444</x:f>
        <x:v>Final release authorization</x:v>
      </x:c>
      <x:c r="D78" s="97" t="str">
        <x:f>'Approval Register'!F444</x:f>
        <x:v>Needs evidence</x:v>
      </x:c>
      <x:c r="E78" s="97" t="str">
        <x:f>'Approval Register'!H444</x:f>
        <x:v>Pending evidence</x:v>
      </x:c>
      <x:c r="F78" s="97" t="str">
        <x:f>'Approval Register'!I444</x:f>
        <x:v>Evidence Required</x:v>
      </x:c>
      <x:c r="G78" s="97" t="str">
        <x:f>'Approval Register'!J444</x:f>
        <x:v>Critical</x:v>
      </x:c>
      <x:c r="H78" s="75"/>
      <x:c r="I78" s="75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A79" s="81" t="str">
        <x:v>DS01</x:v>
      </x:c>
      <x:c r="B79" s="81" t="str">
        <x:f>IFERROR(INDEX('Approval Register'!D:D,MATCH(A79,'Approval Register'!A:A,0)),"")</x:f>
        <x:v>Should V3.0 release as three coordinated products: Brand Guidelines, Digital Design System, and Production Standards?</x:v>
      </x:c>
      <x:c r="C79" s="81" t="str">
        <x:f>IFERROR(INDEX('Approval Register'!E:E,MATCH(A79,'Approval Register'!A:A,0)),"")</x:f>
        <x:v>Yes — one editorial brand manual, one living digital/product system, and one supplier/production standard.</x:v>
      </x:c>
      <x:c r="D79" s="81" t="str">
        <x:f>IFERROR(INDEX('Approval Register'!F:F,MATCH(A79,'Approval Register'!A:A,0)),"")</x:f>
        <x:v>Approve recommendation</x:v>
      </x:c>
      <x:c r="E79" s="81" t="str">
        <x:f>IFERROR(INDEX('Approval Register'!H:H,MATCH(A79,'Approval Register'!A:A,0)),"")</x:f>
        <x:v>Yes — one editorial brand manual, one living digital/product system, and one supplier/production standard.</x:v>
      </x:c>
      <x:c r="F79" s="81" t="str">
        <x:f>IFERROR(INDEX('Approval Register'!I:I,MATCH(A79,'Approval Register'!A:A,0)),"Pending")</x:f>
        <x:v>Approved</x:v>
      </x:c>
      <x:c r="G79" s="81" t="str">
        <x:f>IFERROR(INDEX('Approval Register'!J:J,MATCH(A79,'Approval Register'!A:A,0)),"")</x:f>
        <x:v>Critical</x:v>
      </x:c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A80" s="81" t="str">
        <x:v>DS03</x:v>
      </x:c>
      <x:c r="B80" s="81" t="str">
        <x:f>IFERROR(INDEX('Approval Register'!D:D,MATCH(A80,'Approval Register'!A:A,0)),"")</x:f>
        <x:v>Should the Digital Design System be maintained as living documentation (Storybook or equivalent) with versioned tokens and components?</x:v>
      </x:c>
      <x:c r="C80" s="81" t="str">
        <x:f>IFERROR(INDEX('Approval Register'!E:E,MATCH(A80,'Approval Register'!A:A,0)),"")</x:f>
        <x:v>Yes — publish the component/tokens source as living documentation rather than relying only on PDF.</x:v>
      </x:c>
      <x:c r="D80" s="81" t="str">
        <x:f>IFERROR(INDEX('Approval Register'!F:F,MATCH(A80,'Approval Register'!A:A,0)),"")</x:f>
        <x:v>Approve recommendation</x:v>
      </x:c>
      <x:c r="E80" s="81" t="str">
        <x:f>IFERROR(INDEX('Approval Register'!H:H,MATCH(A80,'Approval Register'!A:A,0)),"")</x:f>
        <x:v>Yes — publish the component/tokens source as living documentation rather than relying only on PDF.</x:v>
      </x:c>
      <x:c r="F80" s="81" t="str">
        <x:f>IFERROR(INDEX('Approval Register'!I:I,MATCH(A80,'Approval Register'!A:A,0)),"Pending")</x:f>
        <x:v>Approved</x:v>
      </x:c>
      <x:c r="G80" s="81" t="str">
        <x:f>IFERROR(INDEX('Approval Register'!J:J,MATCH(A80,'Approval Register'!A:A,0)),"")</x:f>
        <x:v>Critical</x:v>
      </x:c>
      <x:c r="H80" s="75"/>
      <x:c r="I80" s="75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A81" s="81" t="str">
        <x:v>DS04</x:v>
      </x:c>
      <x:c r="B81" s="81" t="str">
        <x:f>IFERROR(INDEX('Approval Register'!D:D,MATCH(A81,'Approval Register'!A:A,0)),"")</x:f>
        <x:v>Should print, packaging, signage and fabrication specifications live in a separate GEM Production Standards document/package?</x:v>
      </x:c>
      <x:c r="C81" s="81" t="str">
        <x:f>IFERROR(INDEX('Approval Register'!E:E,MATCH(A81,'Approval Register'!A:A,0)),"")</x:f>
        <x:v>Yes — consolidate dielines, materials, finishes, tolerances, proofs, fabrication and supplier release controls there.</x:v>
      </x:c>
      <x:c r="D81" s="81" t="str">
        <x:f>IFERROR(INDEX('Approval Register'!F:F,MATCH(A81,'Approval Register'!A:A,0)),"")</x:f>
        <x:v>Approve recommendation</x:v>
      </x:c>
      <x:c r="E81" s="81" t="str">
        <x:f>IFERROR(INDEX('Approval Register'!H:H,MATCH(A81,'Approval Register'!A:A,0)),"")</x:f>
        <x:v>Yes — consolidate dielines, materials, finishes, tolerances, proofs, fabrication and supplier release controls there.</x:v>
      </x:c>
      <x:c r="F81" s="81" t="str">
        <x:f>IFERROR(INDEX('Approval Register'!I:I,MATCH(A81,'Approval Register'!A:A,0)),"Pending")</x:f>
        <x:v>Approved</x:v>
      </x:c>
      <x:c r="G81" s="81" t="str">
        <x:f>IFERROR(INDEX('Approval Register'!J:J,MATCH(A81,'Approval Register'!A:A,0)),"")</x:f>
        <x:v>Critical</x:v>
      </x:c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A82" s="81" t="str">
        <x:v>DS05</x:v>
      </x:c>
      <x:c r="B82" s="81" t="str">
        <x:f>IFERROR(INDEX('Approval Register'!D:D,MATCH(A82,'Approval Register'!A:A,0)),"")</x:f>
        <x:v>Should final production release be blocked until vector logo masters, the no-spark micro mark and missing approved configurations are supplied and verified?</x:v>
      </x:c>
      <x:c r="C82" s="81" t="str">
        <x:f>IFERROR(INDEX('Approval Register'!E:E,MATCH(A82,'Approval Register'!A:A,0)),"")</x:f>
        <x:v>Yes — no print/fabrication release from raster-only references.</x:v>
      </x:c>
      <x:c r="D82" s="81" t="str">
        <x:f>IFERROR(INDEX('Approval Register'!F:F,MATCH(A82,'Approval Register'!A:A,0)),"")</x:f>
        <x:v>Approve recommendation</x:v>
      </x:c>
      <x:c r="E82" s="81" t="str">
        <x:f>IFERROR(INDEX('Approval Register'!H:H,MATCH(A82,'Approval Register'!A:A,0)),"")</x:f>
        <x:v>Yes — no print/fabrication release from raster-only references.</x:v>
      </x:c>
      <x:c r="F82" s="81" t="str">
        <x:f>IFERROR(INDEX('Approval Register'!I:I,MATCH(A82,'Approval Register'!A:A,0)),"Pending")</x:f>
        <x:v>Approved</x:v>
      </x:c>
      <x:c r="G82" s="81" t="str">
        <x:f>IFERROR(INDEX('Approval Register'!J:J,MATCH(A82,'Approval Register'!A:A,0)),"")</x:f>
        <x:v>Critical</x:v>
      </x:c>
      <x:c r="H82" s="75"/>
      <x:c r="I82" s="75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A83" s="81" t="str">
        <x:v>L01</x:v>
      </x:c>
      <x:c r="B83" s="81" t="str">
        <x:f>IFERROR(INDEX('Approval Register'!D:D,MATCH(A83,'Approval Register'!A:A,0)),"")</x:f>
        <x:v>Approve Jost as the final primary display and headline family for V3.0?</x:v>
      </x:c>
      <x:c r="C83" s="81" t="str">
        <x:f>IFERROR(INDEX('Approval Register'!E:E,MATCH(A83,'Approval Register'!A:A,0)),"")</x:f>
        <x:v>Yes — Jost is the working Design System standard for display/headings; freeze the exact font build and weights for release.</x:v>
      </x:c>
      <x:c r="D83" s="81" t="str">
        <x:f>IFERROR(INDEX('Approval Register'!F:F,MATCH(A83,'Approval Register'!A:A,0)),"")</x:f>
        <x:v>Approve recommendation</x:v>
      </x:c>
      <x:c r="E83" s="81" t="str">
        <x:f>IFERROR(INDEX('Approval Register'!H:H,MATCH(A83,'Approval Register'!A:A,0)),"")</x:f>
        <x:v>Yes — Jost is the working Design System standard for display/headings; freeze the exact font build and weights for release.</x:v>
      </x:c>
      <x:c r="F83" s="81" t="str">
        <x:f>IFERROR(INDEX('Approval Register'!I:I,MATCH(A83,'Approval Register'!A:A,0)),"Pending")</x:f>
        <x:v>Approved</x:v>
      </x:c>
      <x:c r="G83" s="81" t="str">
        <x:f>IFERROR(INDEX('Approval Register'!J:J,MATCH(A83,'Approval Register'!A:A,0)),"")</x:f>
        <x:v>Critical</x:v>
      </x:c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A84" s="81" t="str">
        <x:v>L02</x:v>
      </x:c>
      <x:c r="B84" s="81" t="str">
        <x:f>IFERROR(INDEX('Approval Register'!D:D,MATCH(A84,'Approval Register'!A:A,0)),"")</x:f>
        <x:v>Approve Inter as the final body, UI and office family for V3.0?</x:v>
      </x:c>
      <x:c r="C84" s="81" t="str">
        <x:f>IFERROR(INDEX('Approval Register'!E:E,MATCH(A84,'Approval Register'!A:A,0)),"")</x:f>
        <x:v>Yes — Inter is the working Design System standard for body, labels and controls; use it consistently for UI and office outputs.</x:v>
      </x:c>
      <x:c r="D84" s="81" t="str">
        <x:f>IFERROR(INDEX('Approval Register'!F:F,MATCH(A84,'Approval Register'!A:A,0)),"")</x:f>
        <x:v>Approve recommendation</x:v>
      </x:c>
      <x:c r="E84" s="81" t="str">
        <x:f>IFERROR(INDEX('Approval Register'!H:H,MATCH(A84,'Approval Register'!A:A,0)),"")</x:f>
        <x:v>Yes — Inter is the working Design System standard for body, labels and controls; use it consistently for UI and office outputs.</x:v>
      </x:c>
      <x:c r="F84" s="81" t="str">
        <x:f>IFERROR(INDEX('Approval Register'!I:I,MATCH(A84,'Approval Register'!A:A,0)),"Pending")</x:f>
        <x:v>Approved</x:v>
      </x:c>
      <x:c r="G84" s="81" t="str">
        <x:f>IFERROR(INDEX('Approval Register'!J:J,MATCH(A84,'Approval Register'!A:A,0)),"")</x:f>
        <x:v>Critical</x:v>
      </x:c>
      <x:c r="H84" s="75"/>
      <x:c r="I84" s="75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A85" s="81" t="str">
        <x:v>M01</x:v>
      </x:c>
      <x:c r="B85" s="81" t="str">
        <x:f>IFERROR(INDEX('Approval Register'!D:D,MATCH(A85,'Approval Register'!A:A,0)),"")</x:f>
        <x:v>What is the Arabic release status for V3.0?</x:v>
      </x:c>
      <x:c r="C85" s="81" t="str">
        <x:f>IFERROR(INDEX('Approval Register'!E:E,MATCH(A85,'Approval Register'!A:A,0)),"")</x:f>
        <x:v>Either fully approve Arabic after native localization/RTL QA, or publish it as clearly Deferred / Pending Validation — not as an implied production-ready system.</x:v>
      </x:c>
      <x:c r="D85" s="81" t="str">
        <x:f>IFERROR(INDEX('Approval Register'!F:F,MATCH(A85,'Approval Register'!A:A,0)),"")</x:f>
        <x:v>Modify / custom answer</x:v>
      </x:c>
      <x:c r="E85" s="81" t="str">
        <x:f>IFERROR(INDEX('Approval Register'!H:H,MATCH(A85,'Approval Register'!A:A,0)),"")</x:f>
        <x:v>Arabic is required in V3.0 for Saudi/GCC use, but its release status remains PENDING VALIDATION until native RTL, localization, mixed-language and accessibility QA passes.</x:v>
      </x:c>
      <x:c r="F85" s="81" t="str">
        <x:f>IFERROR(INDEX('Approval Register'!I:I,MATCH(A85,'Approval Register'!A:A,0)),"Pending")</x:f>
        <x:v>Approved with modification</x:v>
      </x:c>
      <x:c r="G85" s="81" t="str">
        <x:f>IFERROR(INDEX('Approval Register'!J:J,MATCH(A85,'Approval Register'!A:A,0)),"")</x:f>
        <x:v>Critical</x:v>
      </x:c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A86" s="81" t="str">
        <x:v>Q17</x:v>
      </x:c>
      <x:c r="B86" s="81" t="str">
        <x:f>IFERROR(INDEX('Approval Register'!D:D,MATCH(A86,'Approval Register'!A:A,0)),"")</x:f>
        <x:v>Should responsive rules expand beyond the current single &lt;720px stacking rule?</x:v>
      </x:c>
      <x:c r="C86" s="81" t="str">
        <x:f>IFERROR(INDEX('Approval Register'!E:E,MATCH(A86,'Approval Register'!A:A,0)),"")</x:f>
        <x:v>Yes — define compact/mobile, tablet, desktop and wide-desktop behaviour while keeping breakpoint count minimal and preserving reading order.</x:v>
      </x:c>
      <x:c r="D86" s="81" t="str">
        <x:f>IFERROR(INDEX('Approval Register'!F:F,MATCH(A86,'Approval Register'!A:A,0)),"")</x:f>
        <x:v>Modify / custom answer</x:v>
      </x:c>
      <x:c r="E86" s="81" t="str">
        <x:f>IFERROR(INDEX('Approval Register'!H:H,MATCH(A86,'Approval Register'!A:A,0)),"")</x:f>
        <x:v>Use four primary responsive layout classes: Compact ≤479px, Mobile 480–719px, Tablet 720–1023px, Desktop ≥1024px; treat ≥1440px as a wide max-width enhancement rather than a separate interaction model. Preserve reading order across all classes.</x:v>
      </x:c>
      <x:c r="F86" s="81" t="str">
        <x:f>IFERROR(INDEX('Approval Register'!I:I,MATCH(A86,'Approval Register'!A:A,0)),"Pending")</x:f>
        <x:v>Approved with modification</x:v>
      </x:c>
      <x:c r="G86" s="81" t="str">
        <x:f>IFERROR(INDEX('Approval Register'!J:J,MATCH(A86,'Approval Register'!A:A,0)),"")</x:f>
        <x:v>Critical</x:v>
      </x:c>
      <x:c r="H86" s="75"/>
      <x:c r="I86" s="75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A87" s="81" t="str">
        <x:v>N14</x:v>
      </x:c>
      <x:c r="B87" s="81" t="str">
        <x:f>IFERROR(INDEX('Approval Register'!D:D,MATCH(A87,'Approval Register'!A:A,0)),"")</x:f>
        <x:v>Should GEM create a controlled functional glyph system rather than a decorative icon library?</x:v>
      </x:c>
      <x:c r="C87" s="81" t="str">
        <x:f>IFERROR(INDEX('Approval Register'!E:E,MATCH(A87,'Approval Register'!A:A,0)),"")</x:f>
        <x:v>Yes — create only the minimal functional glyphs required by hospitality/product use cases; no decorative icon library.</x:v>
      </x:c>
      <x:c r="D87" s="81" t="str">
        <x:f>IFERROR(INDEX('Approval Register'!F:F,MATCH(A87,'Approval Register'!A:A,0)),"")</x:f>
        <x:v>Approve recommendation</x:v>
      </x:c>
      <x:c r="E87" s="81" t="str">
        <x:f>IFERROR(INDEX('Approval Register'!H:H,MATCH(A87,'Approval Register'!A:A,0)),"")</x:f>
        <x:v>Yes — create only the minimal functional glyphs required by hospitality/product use cases; no decorative icon library.</x:v>
      </x:c>
      <x:c r="F87" s="81" t="str">
        <x:f>IFERROR(INDEX('Approval Register'!I:I,MATCH(A87,'Approval Register'!A:A,0)),"Pending")</x:f>
        <x:v>Approved</x:v>
      </x:c>
      <x:c r="G87" s="81" t="str">
        <x:f>IFERROR(INDEX('Approval Register'!J:J,MATCH(A87,'Approval Register'!A:A,0)),"")</x:f>
        <x:v>High</x:v>
      </x:c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A88" s="81" t="str">
        <x:v>DS06</x:v>
      </x:c>
      <x:c r="B88" s="81" t="str">
        <x:f>IFERROR(INDEX('Approval Register'!D:D,MATCH(A88,'Approval Register'!A:A,0)),"")</x:f>
        <x:v>Should date, calendar, numeral and direction behaviour be locale-aware rather than globally hardcoded?</x:v>
      </x:c>
      <x:c r="C88" s="81" t="str">
        <x:f>IFERROR(INDEX('Approval Register'!E:E,MATCH(A88,'Approval Register'!A:A,0)),"")</x:f>
        <x:v>Yes — week start, date format, month names, numerals and direction should derive from locale; do not hardcode Monday-first globally.</x:v>
      </x:c>
      <x:c r="D88" s="81" t="str">
        <x:f>IFERROR(INDEX('Approval Register'!F:F,MATCH(A88,'Approval Register'!A:A,0)),"")</x:f>
        <x:v>Approve recommendation</x:v>
      </x:c>
      <x:c r="E88" s="81" t="str">
        <x:f>IFERROR(INDEX('Approval Register'!H:H,MATCH(A88,'Approval Register'!A:A,0)),"")</x:f>
        <x:v>Yes — week start, date format, month names, numerals and direction should derive from locale; do not hardcode Monday-first globally.</x:v>
      </x:c>
      <x:c r="F88" s="81" t="str">
        <x:f>IFERROR(INDEX('Approval Register'!I:I,MATCH(A88,'Approval Register'!A:A,0)),"Pending")</x:f>
        <x:v>Approved</x:v>
      </x:c>
      <x:c r="G88" s="81" t="str">
        <x:f>IFERROR(INDEX('Approval Register'!J:J,MATCH(A88,'Approval Register'!A:A,0)),"")</x:f>
        <x:v>Critical</x:v>
      </x:c>
      <x:c r="H88" s="75"/>
      <x:c r="I88" s="75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A89" s="81" t="str">
        <x:v>DS08</x:v>
      </x:c>
      <x:c r="B89" s="81" t="str">
        <x:f>IFERROR(INDEX('Approval Register'!D:D,MATCH(A89,'Approval Register'!A:A,0)),"")</x:f>
        <x:v>Should the final Brand Guidelines demonstrate the visual world with photography, materials and application case studies using a principle → specimen → rule → application rhythm?</x:v>
      </x:c>
      <x:c r="C89" s="81" t="str">
        <x:f>IFERROR(INDEX('Approval Register'!E:E,MATCH(A89,'Approval Register'!A:A,0)),"")</x:f>
        <x:v>Yes — reduce text density and prove the brand through art-directed examples, not rules alone.</x:v>
      </x:c>
      <x:c r="D89" s="81" t="str">
        <x:f>IFERROR(INDEX('Approval Register'!F:F,MATCH(A89,'Approval Register'!A:A,0)),"")</x:f>
        <x:v>Approve recommendation</x:v>
      </x:c>
      <x:c r="E89" s="81" t="str">
        <x:f>IFERROR(INDEX('Approval Register'!H:H,MATCH(A89,'Approval Register'!A:A,0)),"")</x:f>
        <x:v>Yes — reduce text density and prove the brand through art-directed examples, not rules alone.</x:v>
      </x:c>
      <x:c r="F89" s="81" t="str">
        <x:f>IFERROR(INDEX('Approval Register'!I:I,MATCH(A89,'Approval Register'!A:A,0)),"Pending")</x:f>
        <x:v>Approved</x:v>
      </x:c>
      <x:c r="G89" s="81" t="str">
        <x:f>IFERROR(INDEX('Approval Register'!J:J,MATCH(A89,'Approval Register'!A:A,0)),"")</x:f>
        <x:v>High</x:v>
      </x:c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A90" s="81" t="str">
        <x:v>AB21</x:v>
      </x:c>
      <x:c r="B90" s="81" t="str">
        <x:f>IFERROR(INDEX('Approval Register'!D:D,MATCH(A90,'Approval Register'!A:A,0)),"")</x:f>
        <x:v>Final deliverable: GEM Digital Design System — living documentation + versioned tokens/component code</x:v>
      </x:c>
      <x:c r="C90" s="81" t="str">
        <x:f>IFERROR(INDEX('Approval Register'!E:E,MATCH(A90,'Approval Register'!A:A,0)),"")</x:f>
        <x:v>Yes</x:v>
      </x:c>
      <x:c r="D90" s="81" t="str">
        <x:f>IFERROR(INDEX('Approval Register'!F:F,MATCH(A90,'Approval Register'!A:A,0)),"")</x:f>
        <x:v>Approve recommendation</x:v>
      </x:c>
      <x:c r="E90" s="81" t="str">
        <x:f>IFERROR(INDEX('Approval Register'!H:H,MATCH(A90,'Approval Register'!A:A,0)),"")</x:f>
        <x:v>Yes</x:v>
      </x:c>
      <x:c r="F90" s="81" t="str">
        <x:f>IFERROR(INDEX('Approval Register'!I:I,MATCH(A90,'Approval Register'!A:A,0)),"Pending")</x:f>
        <x:v>Approved</x:v>
      </x:c>
      <x:c r="G90" s="81" t="str">
        <x:f>IFERROR(INDEX('Approval Register'!J:J,MATCH(A90,'Approval Register'!A:A,0)),"")</x:f>
        <x:v>High</x:v>
      </x:c>
      <x:c r="H90" s="75"/>
      <x:c r="I90" s="75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A91" s="81" t="str">
        <x:v>AB22</x:v>
      </x:c>
      <x:c r="B91" s="81" t="str">
        <x:f>IFERROR(INDEX('Approval Register'!D:D,MATCH(A91,'Approval Register'!A:A,0)),"")</x:f>
        <x:v>Final deliverable: GEM Production Standards — print / packaging / signage supplier specification</x:v>
      </x:c>
      <x:c r="C91" s="81" t="str">
        <x:f>IFERROR(INDEX('Approval Register'!E:E,MATCH(A91,'Approval Register'!A:A,0)),"")</x:f>
        <x:v>Yes</x:v>
      </x:c>
      <x:c r="D91" s="81" t="str">
        <x:f>IFERROR(INDEX('Approval Register'!F:F,MATCH(A91,'Approval Register'!A:A,0)),"")</x:f>
        <x:v>Approve recommendation</x:v>
      </x:c>
      <x:c r="E91" s="81" t="str">
        <x:f>IFERROR(INDEX('Approval Register'!H:H,MATCH(A91,'Approval Register'!A:A,0)),"")</x:f>
        <x:v>Yes</x:v>
      </x:c>
      <x:c r="F91" s="81" t="str">
        <x:f>IFERROR(INDEX('Approval Register'!I:I,MATCH(A91,'Approval Register'!A:A,0)),"Pending")</x:f>
        <x:v>Approved</x:v>
      </x:c>
      <x:c r="G91" s="81" t="str">
        <x:f>IFERROR(INDEX('Approval Register'!J:J,MATCH(A91,'Approval Register'!A:A,0)),"")</x:f>
        <x:v>High</x:v>
      </x:c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A92" s="81" t="str">
        <x:v>AC20</x:v>
      </x:c>
      <x:c r="B92" s="81" t="str">
        <x:f>IFERROR(INDEX('Approval Register'!D:D,MATCH(A92,'Approval Register'!A:A,0)),"")</x:f>
        <x:v>Brand Owner authorizes GEM™ Brand Guidelines V3.0 for release</x:v>
      </x:c>
      <x:c r="C92" s="81" t="str">
        <x:f>IFERROR(INDEX('Approval Register'!E:E,MATCH(A92,'Approval Register'!A:A,0)),"")</x:f>
        <x:v>Final release authorization</x:v>
      </x:c>
      <x:c r="D92" s="81" t="str">
        <x:f>IFERROR(INDEX('Approval Register'!F:F,MATCH(A92,'Approval Register'!A:A,0)),"")</x:f>
        <x:v>Needs evidence</x:v>
      </x:c>
      <x:c r="E92" s="81" t="str">
        <x:f>IFERROR(INDEX('Approval Register'!H:H,MATCH(A92,'Approval Register'!A:A,0)),"")</x:f>
        <x:v>Pending evidence</x:v>
      </x:c>
      <x:c r="F92" s="81" t="str">
        <x:f>IFERROR(INDEX('Approval Register'!I:I,MATCH(A92,'Approval Register'!A:A,0)),"Pending")</x:f>
        <x:v>Evidence Required</x:v>
      </x:c>
      <x:c r="G92" s="81" t="str">
        <x:f>IFERROR(INDEX('Approval Register'!J:J,MATCH(A92,'Approval Register'!A:A,0)),"")</x:f>
        <x:v>Critical</x:v>
      </x:c>
      <x:c r="H92" s="75"/>
      <x:c r="I92" s="75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A93" s="75"/>
      <x:c r="B93" s="75"/>
      <x:c r="C93" s="75"/>
      <x:c r="D93" s="75"/>
      <x:c r="E93" s="75"/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A94" s="75"/>
      <x:c r="B94" s="75"/>
      <x:c r="C94" s="75"/>
      <x:c r="D94" s="75"/>
      <x:c r="E94" s="75"/>
      <x:c r="F94" s="75"/>
      <x:c r="G94" s="75"/>
      <x:c r="H94" s="75"/>
      <x:c r="I94" s="75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A95" s="75"/>
      <x:c r="B95" s="75"/>
      <x:c r="C95" s="75"/>
      <x:c r="D95" s="75"/>
      <x:c r="E95" s="75"/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A96" s="75"/>
      <x:c r="B96" s="75"/>
      <x:c r="C96" s="75"/>
      <x:c r="D96" s="75"/>
      <x:c r="E96" s="75"/>
      <x:c r="F96" s="75"/>
      <x:c r="G96" s="75"/>
      <x:c r="H96" s="75"/>
      <x:c r="I96" s="75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A97" s="75"/>
      <x:c r="B97" s="75"/>
      <x:c r="C97" s="75"/>
      <x:c r="D97" s="75"/>
      <x:c r="E97" s="75"/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A98" s="75"/>
      <x:c r="B98" s="75"/>
      <x:c r="C98" s="75"/>
      <x:c r="D98" s="75"/>
      <x:c r="E98" s="75"/>
      <x:c r="F98" s="75"/>
      <x:c r="G98" s="75"/>
      <x:c r="H98" s="75"/>
      <x:c r="I98" s="75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A99" s="75"/>
      <x:c r="B99" s="75"/>
      <x:c r="C99" s="75"/>
      <x:c r="D99" s="75"/>
      <x:c r="E99" s="75"/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A100" s="75"/>
      <x:c r="B100" s="75"/>
      <x:c r="C100" s="75"/>
      <x:c r="D100" s="75"/>
      <x:c r="E100" s="75"/>
      <x:c r="F100" s="75"/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A101" s="75"/>
      <x:c r="B101" s="75"/>
      <x:c r="C101" s="75"/>
      <x:c r="D101" s="75"/>
      <x:c r="E101" s="75"/>
      <x:c r="F101" s="75"/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A102" s="75"/>
      <x:c r="B102" s="75"/>
      <x:c r="C102" s="75"/>
      <x:c r="D102" s="75"/>
      <x:c r="E102" s="75"/>
      <x:c r="F102" s="75"/>
      <x:c r="G102" s="75"/>
      <x:c r="H102" s="75"/>
      <x:c r="I102" s="75"/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A103" s="75"/>
      <x:c r="B103" s="75"/>
      <x:c r="C103" s="75"/>
      <x:c r="D103" s="75"/>
      <x:c r="E103" s="75"/>
      <x:c r="F103" s="75"/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A104" s="75"/>
      <x:c r="B104" s="75"/>
      <x:c r="C104" s="75"/>
      <x:c r="D104" s="75"/>
      <x:c r="E104" s="75"/>
      <x:c r="F104" s="75"/>
      <x:c r="G104" s="75"/>
      <x:c r="H104" s="75"/>
      <x:c r="I104" s="75"/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A105" s="75"/>
      <x:c r="B105" s="75"/>
      <x:c r="C105" s="75"/>
      <x:c r="D105" s="75"/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A106" s="75"/>
      <x:c r="B106" s="75"/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A107" s="75"/>
      <x:c r="B107" s="75"/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A108" s="75"/>
      <x:c r="B108" s="75"/>
      <x:c r="C108" s="75"/>
      <x:c r="D108" s="75"/>
      <x:c r="E108" s="75"/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A109" s="75"/>
      <x:c r="B109" s="75"/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A110" s="75"/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A111" s="75"/>
      <x:c r="B111" s="75"/>
      <x:c r="C111" s="75"/>
      <x:c r="D111" s="75"/>
      <x:c r="E111" s="75"/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A112" s="75"/>
      <x:c r="B112" s="75"/>
      <x:c r="C112" s="75"/>
      <x:c r="D112" s="75"/>
      <x:c r="E112" s="75"/>
      <x:c r="F112" s="75"/>
      <x:c r="G112" s="75"/>
      <x:c r="H112" s="75"/>
      <x:c r="I112" s="75"/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A113" s="75"/>
      <x:c r="B113" s="75"/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A114" s="75"/>
      <x:c r="B114" s="75"/>
      <x:c r="C114" s="75"/>
      <x:c r="D114" s="75"/>
      <x:c r="E114" s="75"/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A115" s="75"/>
      <x:c r="B115" s="75"/>
      <x:c r="C115" s="75"/>
      <x:c r="D115" s="75"/>
      <x:c r="E115" s="75"/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A116" s="75"/>
      <x:c r="B116" s="75"/>
      <x:c r="C116" s="75"/>
      <x:c r="D116" s="75"/>
      <x:c r="E116" s="75"/>
      <x:c r="F116" s="75"/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A117" s="75"/>
      <x:c r="B117" s="75"/>
      <x:c r="C117" s="75"/>
      <x:c r="D117" s="75"/>
      <x:c r="E117" s="75"/>
      <x:c r="F117" s="75"/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A118" s="75"/>
      <x:c r="B118" s="75"/>
      <x:c r="C118" s="75"/>
      <x:c r="D118" s="75"/>
      <x:c r="E118" s="75"/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A119" s="75"/>
      <x:c r="B119" s="75"/>
      <x:c r="C119" s="75"/>
      <x:c r="D119" s="75"/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A120" s="75"/>
      <x:c r="B120" s="75"/>
      <x:c r="C120" s="75"/>
      <x:c r="D120" s="75"/>
      <x:c r="E120" s="75"/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A121" s="75"/>
      <x:c r="B121" s="75"/>
      <x:c r="C121" s="75"/>
      <x:c r="D121" s="75"/>
      <x:c r="E121" s="75"/>
      <x:c r="F121" s="75"/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A122" s="75"/>
      <x:c r="B122" s="75"/>
      <x:c r="C122" s="75"/>
      <x:c r="D122" s="75"/>
      <x:c r="E122" s="75"/>
      <x:c r="F122" s="75"/>
      <x:c r="G122" s="75"/>
      <x:c r="H122" s="75"/>
      <x:c r="I122" s="75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A123" s="75"/>
      <x:c r="B123" s="75"/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A124" s="75"/>
      <x:c r="B124" s="75"/>
      <x:c r="C124" s="75"/>
      <x:c r="D124" s="75"/>
      <x:c r="E124" s="75"/>
      <x:c r="F124" s="75"/>
      <x:c r="G124" s="75"/>
      <x:c r="H124" s="75"/>
      <x:c r="I124" s="75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A125" s="75"/>
      <x:c r="B125" s="75"/>
      <x:c r="C125" s="75"/>
      <x:c r="D125" s="75"/>
      <x:c r="E125" s="75"/>
      <x:c r="F125" s="75"/>
      <x:c r="G125" s="75"/>
      <x:c r="H125" s="75"/>
      <x:c r="I125" s="75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A126" s="75"/>
      <x:c r="B126" s="75"/>
      <x:c r="C126" s="75"/>
      <x:c r="D126" s="75"/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A127" s="75"/>
      <x:c r="B127" s="75"/>
      <x:c r="C127" s="75"/>
      <x:c r="D127" s="75"/>
      <x:c r="E127" s="75"/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A128" s="75"/>
      <x:c r="B128" s="75"/>
      <x:c r="C128" s="75"/>
      <x:c r="D128" s="75"/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A129" s="75"/>
      <x:c r="B129" s="75"/>
      <x:c r="C129" s="75"/>
      <x:c r="D129" s="75"/>
      <x:c r="E129" s="75"/>
      <x:c r="F129" s="75"/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A130" s="75"/>
      <x:c r="B130" s="75"/>
      <x:c r="C130" s="75"/>
      <x:c r="D130" s="75"/>
      <x:c r="E130" s="75"/>
      <x:c r="F130" s="75"/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A131" s="75"/>
      <x:c r="B131" s="75"/>
      <x:c r="C131" s="75"/>
      <x:c r="D131" s="75"/>
      <x:c r="E131" s="75"/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A132" s="75"/>
      <x:c r="B132" s="75"/>
      <x:c r="C132" s="75"/>
      <x:c r="D132" s="75"/>
      <x:c r="E132" s="75"/>
      <x:c r="F132" s="75"/>
      <x:c r="G132" s="75"/>
      <x:c r="H132" s="75"/>
      <x:c r="I132" s="75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A133" s="75"/>
      <x:c r="B133" s="75"/>
      <x:c r="C133" s="75"/>
      <x:c r="D133" s="75"/>
      <x:c r="E133" s="75"/>
      <x:c r="F133" s="75"/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A134" s="75"/>
      <x:c r="B134" s="75"/>
      <x:c r="C134" s="75"/>
      <x:c r="D134" s="75"/>
      <x:c r="E134" s="75"/>
      <x:c r="F134" s="75"/>
      <x:c r="G134" s="75"/>
      <x:c r="H134" s="75"/>
      <x:c r="I134" s="75"/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A135" s="75"/>
      <x:c r="B135" s="75"/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A136" s="75"/>
      <x:c r="B136" s="75"/>
      <x:c r="C136" s="75"/>
      <x:c r="D136" s="75"/>
      <x:c r="E136" s="75"/>
      <x:c r="F136" s="75"/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A137" s="75"/>
      <x:c r="B137" s="75"/>
      <x:c r="C137" s="75"/>
      <x:c r="D137" s="75"/>
      <x:c r="E137" s="75"/>
      <x:c r="F137" s="75"/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A138" s="75"/>
      <x:c r="B138" s="75"/>
      <x:c r="C138" s="75"/>
      <x:c r="D138" s="75"/>
      <x:c r="E138" s="75"/>
      <x:c r="F138" s="75"/>
      <x:c r="G138" s="75"/>
      <x:c r="H138" s="75"/>
      <x:c r="I138" s="75"/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A139" s="75"/>
      <x:c r="B139" s="75"/>
      <x:c r="C139" s="75"/>
      <x:c r="D139" s="75"/>
      <x:c r="E139" s="75"/>
      <x:c r="F139" s="75"/>
      <x:c r="G139" s="75"/>
      <x:c r="H139" s="75"/>
      <x:c r="I139" s="75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A140" s="75"/>
      <x:c r="B140" s="75"/>
      <x:c r="C140" s="75"/>
      <x:c r="D140" s="75"/>
      <x:c r="E140" s="75"/>
      <x:c r="F140" s="75"/>
      <x:c r="G140" s="75"/>
      <x:c r="H140" s="75"/>
      <x:c r="I140" s="75"/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A141" s="75"/>
      <x:c r="B141" s="75"/>
      <x:c r="C141" s="75"/>
      <x:c r="D141" s="75"/>
      <x:c r="E141" s="75"/>
      <x:c r="F141" s="75"/>
      <x:c r="G141" s="75"/>
      <x:c r="H141" s="75"/>
      <x:c r="I141" s="75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A142" s="75"/>
      <x:c r="B142" s="75"/>
      <x:c r="C142" s="75"/>
      <x:c r="D142" s="75"/>
      <x:c r="E142" s="75"/>
      <x:c r="F142" s="75"/>
      <x:c r="G142" s="75"/>
      <x:c r="H142" s="75"/>
      <x:c r="I142" s="75"/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A143" s="75"/>
      <x:c r="B143" s="75"/>
      <x:c r="C143" s="75"/>
      <x:c r="D143" s="75"/>
      <x:c r="E143" s="75"/>
      <x:c r="F143" s="75"/>
      <x:c r="G143" s="75"/>
      <x:c r="H143" s="75"/>
      <x:c r="I143" s="75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A144" s="75"/>
      <x:c r="B144" s="75"/>
      <x:c r="C144" s="75"/>
      <x:c r="D144" s="75"/>
      <x:c r="E144" s="75"/>
      <x:c r="F144" s="75"/>
      <x:c r="G144" s="75"/>
      <x:c r="H144" s="75"/>
      <x:c r="I144" s="75"/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A145" s="75"/>
      <x:c r="B145" s="75"/>
      <x:c r="C145" s="75"/>
      <x:c r="D145" s="75"/>
      <x:c r="E145" s="75"/>
      <x:c r="F145" s="75"/>
      <x:c r="G145" s="75"/>
      <x:c r="H145" s="75"/>
      <x:c r="I145" s="75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A146" s="75"/>
      <x:c r="B146" s="75"/>
      <x:c r="C146" s="75"/>
      <x:c r="D146" s="75"/>
      <x:c r="E146" s="75"/>
      <x:c r="F146" s="75"/>
      <x:c r="G146" s="75"/>
      <x:c r="H146" s="75"/>
      <x:c r="I146" s="75"/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A147" s="75"/>
      <x:c r="B147" s="75"/>
      <x:c r="C147" s="75"/>
      <x:c r="D147" s="75"/>
      <x:c r="E147" s="75"/>
      <x:c r="F147" s="75"/>
      <x:c r="G147" s="75"/>
      <x:c r="H147" s="75"/>
      <x:c r="I147" s="75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A148" s="75"/>
      <x:c r="B148" s="75"/>
      <x:c r="C148" s="75"/>
      <x:c r="D148" s="75"/>
      <x:c r="E148" s="75"/>
      <x:c r="F148" s="75"/>
      <x:c r="G148" s="75"/>
      <x:c r="H148" s="75"/>
      <x:c r="I148" s="75"/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A149" s="75"/>
      <x:c r="B149" s="75"/>
      <x:c r="C149" s="75"/>
      <x:c r="D149" s="75"/>
      <x:c r="E149" s="75"/>
      <x:c r="F149" s="75"/>
      <x:c r="G149" s="75"/>
      <x:c r="H149" s="75"/>
      <x:c r="I149" s="75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A150" s="75"/>
      <x:c r="B150" s="75"/>
      <x:c r="C150" s="75"/>
      <x:c r="D150" s="75"/>
      <x:c r="E150" s="75"/>
      <x:c r="F150" s="75"/>
      <x:c r="G150" s="75"/>
      <x:c r="H150" s="75"/>
      <x:c r="I150" s="75"/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A151" s="75"/>
      <x:c r="B151" s="75"/>
      <x:c r="C151" s="75"/>
      <x:c r="D151" s="75"/>
      <x:c r="E151" s="75"/>
      <x:c r="F151" s="75"/>
      <x:c r="G151" s="75"/>
      <x:c r="H151" s="75"/>
      <x:c r="I151" s="75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A152" s="75"/>
      <x:c r="B152" s="75"/>
      <x:c r="C152" s="75"/>
      <x:c r="D152" s="75"/>
      <x:c r="E152" s="75"/>
      <x:c r="F152" s="75"/>
      <x:c r="G152" s="75"/>
      <x:c r="H152" s="75"/>
      <x:c r="I152" s="75"/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A153" s="75"/>
      <x:c r="B153" s="75"/>
      <x:c r="C153" s="75"/>
      <x:c r="D153" s="75"/>
      <x:c r="E153" s="75"/>
      <x:c r="F153" s="75"/>
      <x:c r="G153" s="75"/>
      <x:c r="H153" s="75"/>
      <x:c r="I153" s="75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A154" s="75"/>
      <x:c r="B154" s="75"/>
      <x:c r="C154" s="75"/>
      <x:c r="D154" s="75"/>
      <x:c r="E154" s="75"/>
      <x:c r="F154" s="75"/>
      <x:c r="G154" s="75"/>
      <x:c r="H154" s="75"/>
      <x:c r="I154" s="75"/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A155" s="75"/>
      <x:c r="B155" s="75"/>
      <x:c r="C155" s="75"/>
      <x:c r="D155" s="75"/>
      <x:c r="E155" s="75"/>
      <x:c r="F155" s="75"/>
      <x:c r="G155" s="75"/>
      <x:c r="H155" s="75"/>
      <x:c r="I155" s="75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  <x:row r="156">
      <x:c r="A156" s="75"/>
      <x:c r="B156" s="75"/>
      <x:c r="C156" s="75"/>
      <x:c r="D156" s="75"/>
      <x:c r="E156" s="75"/>
      <x:c r="F156" s="75"/>
      <x:c r="G156" s="75"/>
      <x:c r="H156" s="75"/>
      <x:c r="I156" s="75"/>
      <x:c r="J156" s="75"/>
      <x:c r="K156" s="75"/>
      <x:c r="L156" s="75"/>
      <x:c r="M156" s="75"/>
      <x:c r="N156" s="75"/>
      <x:c r="O156" s="75"/>
      <x:c r="P156" s="75"/>
      <x:c r="Q156" s="75"/>
      <x:c r="R156" s="75"/>
      <x:c r="S156" s="75"/>
      <x:c r="T156" s="75"/>
      <x:c r="U156" s="75"/>
      <x:c r="V156" s="75"/>
      <x:c r="W156" s="75"/>
      <x:c r="X156" s="75"/>
      <x:c r="Y156" s="75"/>
      <x:c r="Z156" s="75"/>
    </x:row>
    <x:row r="157">
      <x:c r="A157" s="75"/>
      <x:c r="B157" s="75"/>
      <x:c r="C157" s="75"/>
      <x:c r="D157" s="75"/>
      <x:c r="E157" s="75"/>
      <x:c r="F157" s="75"/>
      <x:c r="G157" s="75"/>
      <x:c r="H157" s="75"/>
      <x:c r="I157" s="75"/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</x:row>
    <x:row r="158">
      <x:c r="A158" s="75"/>
      <x:c r="B158" s="75"/>
      <x:c r="C158" s="75"/>
      <x:c r="D158" s="75"/>
      <x:c r="E158" s="75"/>
      <x:c r="F158" s="75"/>
      <x:c r="G158" s="75"/>
      <x:c r="H158" s="75"/>
      <x:c r="I158" s="75"/>
      <x:c r="J158" s="75"/>
      <x:c r="K158" s="75"/>
      <x:c r="L158" s="75"/>
      <x:c r="M158" s="75"/>
      <x:c r="N158" s="75"/>
      <x:c r="O158" s="75"/>
      <x:c r="P158" s="75"/>
      <x:c r="Q158" s="75"/>
      <x:c r="R158" s="75"/>
      <x:c r="S158" s="75"/>
      <x:c r="T158" s="75"/>
      <x:c r="U158" s="75"/>
      <x:c r="V158" s="75"/>
      <x:c r="W158" s="75"/>
      <x:c r="X158" s="75"/>
      <x:c r="Y158" s="75"/>
      <x:c r="Z158" s="75"/>
    </x:row>
    <x:row r="159">
      <x:c r="A159" s="75"/>
      <x:c r="B159" s="75"/>
      <x:c r="C159" s="75"/>
      <x:c r="D159" s="75"/>
      <x:c r="E159" s="75"/>
      <x:c r="F159" s="75"/>
      <x:c r="G159" s="75"/>
      <x:c r="H159" s="75"/>
      <x:c r="I159" s="75"/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</x:row>
    <x:row r="160">
      <x:c r="A160" s="75"/>
      <x:c r="B160" s="75"/>
      <x:c r="C160" s="75"/>
      <x:c r="D160" s="75"/>
      <x:c r="E160" s="75"/>
      <x:c r="F160" s="75"/>
      <x:c r="G160" s="75"/>
      <x:c r="H160" s="75"/>
      <x:c r="I160" s="75"/>
      <x:c r="J160" s="75"/>
      <x:c r="K160" s="75"/>
      <x:c r="L160" s="75"/>
      <x:c r="M160" s="75"/>
      <x:c r="N160" s="75"/>
      <x:c r="O160" s="75"/>
      <x:c r="P160" s="75"/>
      <x:c r="Q160" s="75"/>
      <x:c r="R160" s="75"/>
      <x:c r="S160" s="75"/>
      <x:c r="T160" s="75"/>
      <x:c r="U160" s="75"/>
      <x:c r="V160" s="75"/>
      <x:c r="W160" s="75"/>
      <x:c r="X160" s="75"/>
      <x:c r="Y160" s="75"/>
      <x:c r="Z160" s="75"/>
    </x:row>
    <x:row r="161">
      <x:c r="A161" s="75"/>
      <x:c r="B161" s="75"/>
      <x:c r="C161" s="75"/>
      <x:c r="D161" s="75"/>
      <x:c r="E161" s="75"/>
      <x:c r="F161" s="75"/>
      <x:c r="G161" s="75"/>
      <x:c r="H161" s="75"/>
      <x:c r="I161" s="75"/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</x:row>
    <x:row r="162">
      <x:c r="A162" s="75"/>
      <x:c r="B162" s="75"/>
      <x:c r="C162" s="75"/>
      <x:c r="D162" s="75"/>
      <x:c r="E162" s="75"/>
      <x:c r="F162" s="75"/>
      <x:c r="G162" s="75"/>
      <x:c r="H162" s="75"/>
      <x:c r="I162" s="75"/>
      <x:c r="J162" s="75"/>
      <x:c r="K162" s="75"/>
      <x:c r="L162" s="75"/>
      <x:c r="M162" s="75"/>
      <x:c r="N162" s="75"/>
      <x:c r="O162" s="75"/>
      <x:c r="P162" s="75"/>
      <x:c r="Q162" s="75"/>
      <x:c r="R162" s="75"/>
      <x:c r="S162" s="75"/>
      <x:c r="T162" s="75"/>
      <x:c r="U162" s="75"/>
      <x:c r="V162" s="75"/>
      <x:c r="W162" s="75"/>
      <x:c r="X162" s="75"/>
      <x:c r="Y162" s="75"/>
      <x:c r="Z162" s="75"/>
    </x:row>
    <x:row r="163">
      <x:c r="A163" s="75"/>
      <x:c r="B163" s="75"/>
      <x:c r="C163" s="75"/>
      <x:c r="D163" s="75"/>
      <x:c r="E163" s="75"/>
      <x:c r="F163" s="75"/>
      <x:c r="G163" s="75"/>
      <x:c r="H163" s="75"/>
      <x:c r="I163" s="75"/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</x:row>
    <x:row r="164">
      <x:c r="A164" s="75"/>
      <x:c r="B164" s="75"/>
      <x:c r="C164" s="75"/>
      <x:c r="D164" s="75"/>
      <x:c r="E164" s="75"/>
      <x:c r="F164" s="75"/>
      <x:c r="G164" s="75"/>
      <x:c r="H164" s="75"/>
      <x:c r="I164" s="75"/>
      <x:c r="J164" s="75"/>
      <x:c r="K164" s="75"/>
      <x:c r="L164" s="75"/>
      <x:c r="M164" s="75"/>
      <x:c r="N164" s="75"/>
      <x:c r="O164" s="75"/>
      <x:c r="P164" s="75"/>
      <x:c r="Q164" s="75"/>
      <x:c r="R164" s="75"/>
      <x:c r="S164" s="75"/>
      <x:c r="T164" s="75"/>
      <x:c r="U164" s="75"/>
      <x:c r="V164" s="75"/>
      <x:c r="W164" s="75"/>
      <x:c r="X164" s="75"/>
      <x:c r="Y164" s="75"/>
      <x:c r="Z164" s="75"/>
    </x:row>
    <x:row r="165">
      <x:c r="A165" s="75"/>
      <x:c r="B165" s="75"/>
      <x:c r="C165" s="75"/>
      <x:c r="D165" s="75"/>
      <x:c r="E165" s="75"/>
      <x:c r="F165" s="75"/>
      <x:c r="G165" s="75"/>
      <x:c r="H165" s="75"/>
      <x:c r="I165" s="75"/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</x:row>
    <x:row r="166">
      <x:c r="A166" s="75"/>
      <x:c r="B166" s="75"/>
      <x:c r="C166" s="75"/>
      <x:c r="D166" s="75"/>
      <x:c r="E166" s="75"/>
      <x:c r="F166" s="75"/>
      <x:c r="G166" s="75"/>
      <x:c r="H166" s="75"/>
      <x:c r="I166" s="75"/>
      <x:c r="J166" s="75"/>
      <x:c r="K166" s="75"/>
      <x:c r="L166" s="75"/>
      <x:c r="M166" s="75"/>
      <x:c r="N166" s="75"/>
      <x:c r="O166" s="75"/>
      <x:c r="P166" s="75"/>
      <x:c r="Q166" s="75"/>
      <x:c r="R166" s="75"/>
      <x:c r="S166" s="75"/>
      <x:c r="T166" s="75"/>
      <x:c r="U166" s="75"/>
      <x:c r="V166" s="75"/>
      <x:c r="W166" s="75"/>
      <x:c r="X166" s="75"/>
      <x:c r="Y166" s="75"/>
      <x:c r="Z166" s="75"/>
    </x:row>
    <x:row r="167">
      <x:c r="A167" s="75"/>
      <x:c r="B167" s="75"/>
      <x:c r="C167" s="75"/>
      <x:c r="D167" s="75"/>
      <x:c r="E167" s="75"/>
      <x:c r="F167" s="75"/>
      <x:c r="G167" s="75"/>
      <x:c r="H167" s="75"/>
      <x:c r="I167" s="75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</x:row>
    <x:row r="168">
      <x:c r="A168" s="75"/>
      <x:c r="B168" s="75"/>
      <x:c r="C168" s="75"/>
      <x:c r="D168" s="75"/>
      <x:c r="E168" s="75"/>
      <x:c r="F168" s="75"/>
      <x:c r="G168" s="75"/>
      <x:c r="H168" s="75"/>
      <x:c r="I168" s="75"/>
      <x:c r="J168" s="75"/>
      <x:c r="K168" s="75"/>
      <x:c r="L168" s="75"/>
      <x:c r="M168" s="75"/>
      <x:c r="N168" s="75"/>
      <x:c r="O168" s="75"/>
      <x:c r="P168" s="75"/>
      <x:c r="Q168" s="75"/>
      <x:c r="R168" s="75"/>
      <x:c r="S168" s="75"/>
      <x:c r="T168" s="75"/>
      <x:c r="U168" s="75"/>
      <x:c r="V168" s="75"/>
      <x:c r="W168" s="75"/>
      <x:c r="X168" s="75"/>
      <x:c r="Y168" s="75"/>
      <x:c r="Z168" s="75"/>
    </x:row>
    <x:row r="169">
      <x:c r="A169" s="75"/>
      <x:c r="B169" s="75"/>
      <x:c r="C169" s="75"/>
      <x:c r="D169" s="75"/>
      <x:c r="E169" s="75"/>
      <x:c r="F169" s="75"/>
      <x:c r="G169" s="75"/>
      <x:c r="H169" s="75"/>
      <x:c r="I169" s="75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</x:row>
    <x:row r="170">
      <x:c r="A170" s="75"/>
      <x:c r="B170" s="75"/>
      <x:c r="C170" s="75"/>
      <x:c r="D170" s="75"/>
      <x:c r="E170" s="75"/>
      <x:c r="F170" s="75"/>
      <x:c r="G170" s="75"/>
      <x:c r="H170" s="75"/>
      <x:c r="I170" s="75"/>
      <x:c r="J170" s="75"/>
      <x:c r="K170" s="75"/>
      <x:c r="L170" s="75"/>
      <x:c r="M170" s="75"/>
      <x:c r="N170" s="75"/>
      <x:c r="O170" s="75"/>
      <x:c r="P170" s="75"/>
      <x:c r="Q170" s="75"/>
      <x:c r="R170" s="75"/>
      <x:c r="S170" s="75"/>
      <x:c r="T170" s="75"/>
      <x:c r="U170" s="75"/>
      <x:c r="V170" s="75"/>
      <x:c r="W170" s="75"/>
      <x:c r="X170" s="75"/>
      <x:c r="Y170" s="75"/>
      <x:c r="Z170" s="75"/>
    </x:row>
    <x:row r="171">
      <x:c r="A171" s="75"/>
      <x:c r="B171" s="75"/>
      <x:c r="C171" s="75"/>
      <x:c r="D171" s="75"/>
      <x:c r="E171" s="75"/>
      <x:c r="F171" s="75"/>
      <x:c r="G171" s="75"/>
      <x:c r="H171" s="75"/>
      <x:c r="I171" s="75"/>
      <x:c r="J171" s="75"/>
      <x:c r="K171" s="75"/>
      <x:c r="L171" s="75"/>
      <x:c r="M171" s="75"/>
      <x:c r="N171" s="75"/>
      <x:c r="O171" s="75"/>
      <x:c r="P171" s="75"/>
      <x:c r="Q171" s="75"/>
      <x:c r="R171" s="75"/>
      <x:c r="S171" s="75"/>
      <x:c r="T171" s="75"/>
      <x:c r="U171" s="75"/>
      <x:c r="V171" s="75"/>
      <x:c r="W171" s="75"/>
      <x:c r="X171" s="75"/>
      <x:c r="Y171" s="75"/>
      <x:c r="Z171" s="75"/>
    </x:row>
    <x:row r="172">
      <x:c r="A172" s="75"/>
      <x:c r="B172" s="75"/>
      <x:c r="C172" s="75"/>
      <x:c r="D172" s="75"/>
      <x:c r="E172" s="75"/>
      <x:c r="F172" s="75"/>
      <x:c r="G172" s="75"/>
      <x:c r="H172" s="75"/>
      <x:c r="I172" s="75"/>
      <x:c r="J172" s="75"/>
      <x:c r="K172" s="75"/>
      <x:c r="L172" s="75"/>
      <x:c r="M172" s="75"/>
      <x:c r="N172" s="75"/>
      <x:c r="O172" s="75"/>
      <x:c r="P172" s="75"/>
      <x:c r="Q172" s="75"/>
      <x:c r="R172" s="75"/>
      <x:c r="S172" s="75"/>
      <x:c r="T172" s="75"/>
      <x:c r="U172" s="75"/>
      <x:c r="V172" s="75"/>
      <x:c r="W172" s="75"/>
      <x:c r="X172" s="75"/>
      <x:c r="Y172" s="75"/>
      <x:c r="Z172" s="75"/>
    </x:row>
    <x:row r="173">
      <x:c r="A173" s="75"/>
      <x:c r="B173" s="75"/>
      <x:c r="C173" s="75"/>
      <x:c r="D173" s="75"/>
      <x:c r="E173" s="75"/>
      <x:c r="F173" s="75"/>
      <x:c r="G173" s="75"/>
      <x:c r="H173" s="75"/>
      <x:c r="I173" s="75"/>
      <x:c r="J173" s="75"/>
      <x:c r="K173" s="75"/>
      <x:c r="L173" s="75"/>
      <x:c r="M173" s="75"/>
      <x:c r="N173" s="75"/>
      <x:c r="O173" s="75"/>
      <x:c r="P173" s="75"/>
      <x:c r="Q173" s="75"/>
      <x:c r="R173" s="75"/>
      <x:c r="S173" s="75"/>
      <x:c r="T173" s="75"/>
      <x:c r="U173" s="75"/>
      <x:c r="V173" s="75"/>
      <x:c r="W173" s="75"/>
      <x:c r="X173" s="75"/>
      <x:c r="Y173" s="75"/>
      <x:c r="Z173" s="75"/>
    </x:row>
    <x:row r="174">
      <x:c r="A174" s="75"/>
      <x:c r="B174" s="75"/>
      <x:c r="C174" s="75"/>
      <x:c r="D174" s="75"/>
      <x:c r="E174" s="75"/>
      <x:c r="F174" s="75"/>
      <x:c r="G174" s="75"/>
      <x:c r="H174" s="75"/>
      <x:c r="I174" s="75"/>
      <x:c r="J174" s="75"/>
      <x:c r="K174" s="75"/>
      <x:c r="L174" s="75"/>
      <x:c r="M174" s="75"/>
      <x:c r="N174" s="75"/>
      <x:c r="O174" s="75"/>
      <x:c r="P174" s="75"/>
      <x:c r="Q174" s="75"/>
      <x:c r="R174" s="75"/>
      <x:c r="S174" s="75"/>
      <x:c r="T174" s="75"/>
      <x:c r="U174" s="75"/>
      <x:c r="V174" s="75"/>
      <x:c r="W174" s="75"/>
      <x:c r="X174" s="75"/>
      <x:c r="Y174" s="75"/>
      <x:c r="Z174" s="75"/>
    </x:row>
    <x:row r="175">
      <x:c r="A175" s="75"/>
      <x:c r="B175" s="75"/>
      <x:c r="C175" s="75"/>
      <x:c r="D175" s="75"/>
      <x:c r="E175" s="75"/>
      <x:c r="F175" s="75"/>
      <x:c r="G175" s="75"/>
      <x:c r="H175" s="75"/>
      <x:c r="I175" s="75"/>
      <x:c r="J175" s="75"/>
      <x:c r="K175" s="75"/>
      <x:c r="L175" s="75"/>
      <x:c r="M175" s="75"/>
      <x:c r="N175" s="75"/>
      <x:c r="O175" s="75"/>
      <x:c r="P175" s="75"/>
      <x:c r="Q175" s="75"/>
      <x:c r="R175" s="75"/>
      <x:c r="S175" s="75"/>
      <x:c r="T175" s="75"/>
      <x:c r="U175" s="75"/>
      <x:c r="V175" s="75"/>
      <x:c r="W175" s="75"/>
      <x:c r="X175" s="75"/>
      <x:c r="Y175" s="75"/>
      <x:c r="Z175" s="75"/>
    </x:row>
    <x:row r="176">
      <x:c r="A176" s="75"/>
      <x:c r="B176" s="75"/>
      <x:c r="C176" s="75"/>
      <x:c r="D176" s="75"/>
      <x:c r="E176" s="75"/>
      <x:c r="F176" s="75"/>
      <x:c r="G176" s="75"/>
      <x:c r="H176" s="75"/>
      <x:c r="I176" s="75"/>
      <x:c r="J176" s="75"/>
      <x:c r="K176" s="75"/>
      <x:c r="L176" s="75"/>
      <x:c r="M176" s="75"/>
      <x:c r="N176" s="75"/>
      <x:c r="O176" s="75"/>
      <x:c r="P176" s="75"/>
      <x:c r="Q176" s="75"/>
      <x:c r="R176" s="75"/>
      <x:c r="S176" s="75"/>
      <x:c r="T176" s="75"/>
      <x:c r="U176" s="75"/>
      <x:c r="V176" s="75"/>
      <x:c r="W176" s="75"/>
      <x:c r="X176" s="75"/>
      <x:c r="Y176" s="75"/>
      <x:c r="Z176" s="75"/>
    </x:row>
    <x:row r="177">
      <x:c r="A177" s="75"/>
      <x:c r="B177" s="75"/>
      <x:c r="C177" s="75"/>
      <x:c r="D177" s="75"/>
      <x:c r="E177" s="75"/>
      <x:c r="F177" s="75"/>
      <x:c r="G177" s="75"/>
      <x:c r="H177" s="75"/>
      <x:c r="I177" s="75"/>
      <x:c r="J177" s="75"/>
      <x:c r="K177" s="75"/>
      <x:c r="L177" s="75"/>
      <x:c r="M177" s="75"/>
      <x:c r="N177" s="75"/>
      <x:c r="O177" s="75"/>
      <x:c r="P177" s="75"/>
      <x:c r="Q177" s="75"/>
      <x:c r="R177" s="75"/>
      <x:c r="S177" s="75"/>
      <x:c r="T177" s="75"/>
      <x:c r="U177" s="75"/>
      <x:c r="V177" s="75"/>
      <x:c r="W177" s="75"/>
      <x:c r="X177" s="75"/>
      <x:c r="Y177" s="75"/>
      <x:c r="Z177" s="75"/>
    </x:row>
    <x:row r="178">
      <x:c r="A178" s="75"/>
      <x:c r="B178" s="75"/>
      <x:c r="C178" s="75"/>
      <x:c r="D178" s="75"/>
      <x:c r="E178" s="75"/>
      <x:c r="F178" s="75"/>
      <x:c r="G178" s="75"/>
      <x:c r="H178" s="75"/>
      <x:c r="I178" s="75"/>
      <x:c r="J178" s="75"/>
      <x:c r="K178" s="75"/>
      <x:c r="L178" s="75"/>
      <x:c r="M178" s="75"/>
      <x:c r="N178" s="75"/>
      <x:c r="O178" s="75"/>
      <x:c r="P178" s="75"/>
      <x:c r="Q178" s="75"/>
      <x:c r="R178" s="75"/>
      <x:c r="S178" s="75"/>
      <x:c r="T178" s="75"/>
      <x:c r="U178" s="75"/>
      <x:c r="V178" s="75"/>
      <x:c r="W178" s="75"/>
      <x:c r="X178" s="75"/>
      <x:c r="Y178" s="75"/>
      <x:c r="Z178" s="75"/>
    </x:row>
    <x:row r="179">
      <x:c r="A179" s="75"/>
      <x:c r="B179" s="75"/>
      <x:c r="C179" s="75"/>
      <x:c r="D179" s="75"/>
      <x:c r="E179" s="75"/>
      <x:c r="F179" s="75"/>
      <x:c r="G179" s="75"/>
      <x:c r="H179" s="75"/>
      <x:c r="I179" s="75"/>
      <x:c r="J179" s="75"/>
      <x:c r="K179" s="75"/>
      <x:c r="L179" s="75"/>
      <x:c r="M179" s="75"/>
      <x:c r="N179" s="75"/>
      <x:c r="O179" s="75"/>
      <x:c r="P179" s="75"/>
      <x:c r="Q179" s="75"/>
      <x:c r="R179" s="75"/>
      <x:c r="S179" s="75"/>
      <x:c r="T179" s="75"/>
      <x:c r="U179" s="75"/>
      <x:c r="V179" s="75"/>
      <x:c r="W179" s="75"/>
      <x:c r="X179" s="75"/>
      <x:c r="Y179" s="75"/>
      <x:c r="Z179" s="75"/>
    </x:row>
    <x:row r="180">
      <x:c r="A180" s="75"/>
      <x:c r="B180" s="75"/>
      <x:c r="C180" s="75"/>
      <x:c r="D180" s="75"/>
      <x:c r="E180" s="75"/>
      <x:c r="F180" s="75"/>
      <x:c r="G180" s="75"/>
      <x:c r="H180" s="75"/>
      <x:c r="I180" s="75"/>
      <x:c r="J180" s="75"/>
      <x:c r="K180" s="75"/>
      <x:c r="L180" s="75"/>
      <x:c r="M180" s="75"/>
      <x:c r="N180" s="75"/>
      <x:c r="O180" s="75"/>
      <x:c r="P180" s="75"/>
      <x:c r="Q180" s="75"/>
      <x:c r="R180" s="75"/>
      <x:c r="S180" s="75"/>
      <x:c r="T180" s="75"/>
      <x:c r="U180" s="75"/>
      <x:c r="V180" s="75"/>
      <x:c r="W180" s="75"/>
      <x:c r="X180" s="75"/>
      <x:c r="Y180" s="75"/>
      <x:c r="Z180" s="75"/>
    </x:row>
    <x:row r="181">
      <x:c r="A181" s="75"/>
      <x:c r="B181" s="75"/>
      <x:c r="C181" s="75"/>
      <x:c r="D181" s="75"/>
      <x:c r="E181" s="75"/>
      <x:c r="F181" s="75"/>
      <x:c r="G181" s="75"/>
      <x:c r="H181" s="75"/>
      <x:c r="I181" s="75"/>
      <x:c r="J181" s="75"/>
      <x:c r="K181" s="75"/>
      <x:c r="L181" s="75"/>
      <x:c r="M181" s="75"/>
      <x:c r="N181" s="75"/>
      <x:c r="O181" s="75"/>
      <x:c r="P181" s="75"/>
      <x:c r="Q181" s="75"/>
      <x:c r="R181" s="75"/>
      <x:c r="S181" s="75"/>
      <x:c r="T181" s="75"/>
      <x:c r="U181" s="75"/>
      <x:c r="V181" s="75"/>
      <x:c r="W181" s="75"/>
      <x:c r="X181" s="75"/>
      <x:c r="Y181" s="75"/>
      <x:c r="Z181" s="75"/>
    </x:row>
    <x:row r="182">
      <x:c r="A182" s="75"/>
      <x:c r="B182" s="75"/>
      <x:c r="C182" s="75"/>
      <x:c r="D182" s="75"/>
      <x:c r="E182" s="75"/>
      <x:c r="F182" s="75"/>
      <x:c r="G182" s="75"/>
      <x:c r="H182" s="75"/>
      <x:c r="I182" s="75"/>
      <x:c r="J182" s="75"/>
      <x:c r="K182" s="75"/>
      <x:c r="L182" s="75"/>
      <x:c r="M182" s="75"/>
      <x:c r="N182" s="75"/>
      <x:c r="O182" s="75"/>
      <x:c r="P182" s="75"/>
      <x:c r="Q182" s="75"/>
      <x:c r="R182" s="75"/>
      <x:c r="S182" s="75"/>
      <x:c r="T182" s="75"/>
      <x:c r="U182" s="75"/>
      <x:c r="V182" s="75"/>
      <x:c r="W182" s="75"/>
      <x:c r="X182" s="75"/>
      <x:c r="Y182" s="75"/>
      <x:c r="Z182" s="75"/>
    </x:row>
    <x:row r="183">
      <x:c r="A183" s="75"/>
      <x:c r="B183" s="75"/>
      <x:c r="C183" s="75"/>
      <x:c r="D183" s="75"/>
      <x:c r="E183" s="75"/>
      <x:c r="F183" s="75"/>
      <x:c r="G183" s="75"/>
      <x:c r="H183" s="75"/>
      <x:c r="I183" s="75"/>
      <x:c r="J183" s="75"/>
      <x:c r="K183" s="75"/>
      <x:c r="L183" s="75"/>
      <x:c r="M183" s="75"/>
      <x:c r="N183" s="75"/>
      <x:c r="O183" s="75"/>
      <x:c r="P183" s="75"/>
      <x:c r="Q183" s="75"/>
      <x:c r="R183" s="75"/>
      <x:c r="S183" s="75"/>
      <x:c r="T183" s="75"/>
      <x:c r="U183" s="75"/>
      <x:c r="V183" s="75"/>
      <x:c r="W183" s="75"/>
      <x:c r="X183" s="75"/>
      <x:c r="Y183" s="75"/>
      <x:c r="Z183" s="75"/>
    </x:row>
    <x:row r="184">
      <x:c r="A184" s="75"/>
      <x:c r="B184" s="75"/>
      <x:c r="C184" s="75"/>
      <x:c r="D184" s="75"/>
      <x:c r="E184" s="75"/>
      <x:c r="F184" s="75"/>
      <x:c r="G184" s="75"/>
      <x:c r="H184" s="75"/>
      <x:c r="I184" s="75"/>
      <x:c r="J184" s="75"/>
      <x:c r="K184" s="75"/>
      <x:c r="L184" s="75"/>
      <x:c r="M184" s="75"/>
      <x:c r="N184" s="75"/>
      <x:c r="O184" s="75"/>
      <x:c r="P184" s="75"/>
      <x:c r="Q184" s="75"/>
      <x:c r="R184" s="75"/>
      <x:c r="S184" s="75"/>
      <x:c r="T184" s="75"/>
      <x:c r="U184" s="75"/>
      <x:c r="V184" s="75"/>
      <x:c r="W184" s="75"/>
      <x:c r="X184" s="75"/>
      <x:c r="Y184" s="75"/>
      <x:c r="Z184" s="75"/>
    </x:row>
    <x:row r="185">
      <x:c r="A185" s="75"/>
      <x:c r="B185" s="75"/>
      <x:c r="C185" s="75"/>
      <x:c r="D185" s="75"/>
      <x:c r="E185" s="75"/>
      <x:c r="F185" s="75"/>
      <x:c r="G185" s="75"/>
      <x:c r="H185" s="75"/>
      <x:c r="I185" s="75"/>
      <x:c r="J185" s="75"/>
      <x:c r="K185" s="75"/>
      <x:c r="L185" s="75"/>
      <x:c r="M185" s="75"/>
      <x:c r="N185" s="75"/>
      <x:c r="O185" s="75"/>
      <x:c r="P185" s="75"/>
      <x:c r="Q185" s="75"/>
      <x:c r="R185" s="75"/>
      <x:c r="S185" s="75"/>
      <x:c r="T185" s="75"/>
      <x:c r="U185" s="75"/>
      <x:c r="V185" s="75"/>
      <x:c r="W185" s="75"/>
      <x:c r="X185" s="75"/>
      <x:c r="Y185" s="75"/>
      <x:c r="Z185" s="75"/>
    </x:row>
    <x:row r="186">
      <x:c r="A186" s="75"/>
      <x:c r="B186" s="75"/>
      <x:c r="C186" s="75"/>
      <x:c r="D186" s="75"/>
      <x:c r="E186" s="75"/>
      <x:c r="F186" s="75"/>
      <x:c r="G186" s="75"/>
      <x:c r="H186" s="75"/>
      <x:c r="I186" s="75"/>
      <x:c r="J186" s="75"/>
      <x:c r="K186" s="75"/>
      <x:c r="L186" s="75"/>
      <x:c r="M186" s="75"/>
      <x:c r="N186" s="75"/>
      <x:c r="O186" s="75"/>
      <x:c r="P186" s="75"/>
      <x:c r="Q186" s="75"/>
      <x:c r="R186" s="75"/>
      <x:c r="S186" s="75"/>
      <x:c r="T186" s="75"/>
      <x:c r="U186" s="75"/>
      <x:c r="V186" s="75"/>
      <x:c r="W186" s="75"/>
      <x:c r="X186" s="75"/>
      <x:c r="Y186" s="75"/>
      <x:c r="Z186" s="75"/>
    </x:row>
    <x:row r="187">
      <x:c r="A187" s="75"/>
      <x:c r="B187" s="75"/>
      <x:c r="C187" s="75"/>
      <x:c r="D187" s="75"/>
      <x:c r="E187" s="75"/>
      <x:c r="F187" s="75"/>
      <x:c r="G187" s="75"/>
      <x:c r="H187" s="75"/>
      <x:c r="I187" s="75"/>
      <x:c r="J187" s="75"/>
      <x:c r="K187" s="75"/>
      <x:c r="L187" s="75"/>
      <x:c r="M187" s="75"/>
      <x:c r="N187" s="75"/>
      <x:c r="O187" s="75"/>
      <x:c r="P187" s="75"/>
      <x:c r="Q187" s="75"/>
      <x:c r="R187" s="75"/>
      <x:c r="S187" s="75"/>
      <x:c r="T187" s="75"/>
      <x:c r="U187" s="75"/>
      <x:c r="V187" s="75"/>
      <x:c r="W187" s="75"/>
      <x:c r="X187" s="75"/>
      <x:c r="Y187" s="75"/>
      <x:c r="Z187" s="75"/>
    </x:row>
    <x:row r="188">
      <x:c r="A188" s="75"/>
      <x:c r="B188" s="75"/>
      <x:c r="C188" s="75"/>
      <x:c r="D188" s="75"/>
      <x:c r="E188" s="75"/>
      <x:c r="F188" s="75"/>
      <x:c r="G188" s="75"/>
      <x:c r="H188" s="75"/>
      <x:c r="I188" s="75"/>
      <x:c r="J188" s="75"/>
      <x:c r="K188" s="75"/>
      <x:c r="L188" s="75"/>
      <x:c r="M188" s="75"/>
      <x:c r="N188" s="75"/>
      <x:c r="O188" s="75"/>
      <x:c r="P188" s="75"/>
      <x:c r="Q188" s="75"/>
      <x:c r="R188" s="75"/>
      <x:c r="S188" s="75"/>
      <x:c r="T188" s="75"/>
      <x:c r="U188" s="75"/>
      <x:c r="V188" s="75"/>
      <x:c r="W188" s="75"/>
      <x:c r="X188" s="75"/>
      <x:c r="Y188" s="75"/>
      <x:c r="Z188" s="75"/>
    </x:row>
    <x:row r="189">
      <x:c r="A189" s="75"/>
      <x:c r="B189" s="75"/>
      <x:c r="C189" s="75"/>
      <x:c r="D189" s="75"/>
      <x:c r="E189" s="75"/>
      <x:c r="F189" s="75"/>
      <x:c r="G189" s="75"/>
      <x:c r="H189" s="75"/>
      <x:c r="I189" s="75"/>
      <x:c r="J189" s="75"/>
      <x:c r="K189" s="75"/>
      <x:c r="L189" s="75"/>
      <x:c r="M189" s="75"/>
      <x:c r="N189" s="75"/>
      <x:c r="O189" s="75"/>
      <x:c r="P189" s="75"/>
      <x:c r="Q189" s="75"/>
      <x:c r="R189" s="75"/>
      <x:c r="S189" s="75"/>
      <x:c r="T189" s="75"/>
      <x:c r="U189" s="75"/>
      <x:c r="V189" s="75"/>
      <x:c r="W189" s="75"/>
      <x:c r="X189" s="75"/>
      <x:c r="Y189" s="75"/>
      <x:c r="Z189" s="75"/>
    </x:row>
    <x:row r="190">
      <x:c r="A190" s="75"/>
      <x:c r="B190" s="75"/>
      <x:c r="C190" s="75"/>
      <x:c r="D190" s="75"/>
      <x:c r="E190" s="75"/>
      <x:c r="F190" s="75"/>
      <x:c r="G190" s="75"/>
      <x:c r="H190" s="75"/>
      <x:c r="I190" s="75"/>
      <x:c r="J190" s="75"/>
      <x:c r="K190" s="75"/>
      <x:c r="L190" s="75"/>
      <x:c r="M190" s="75"/>
      <x:c r="N190" s="75"/>
      <x:c r="O190" s="75"/>
      <x:c r="P190" s="75"/>
      <x:c r="Q190" s="75"/>
      <x:c r="R190" s="75"/>
      <x:c r="S190" s="75"/>
      <x:c r="T190" s="75"/>
      <x:c r="U190" s="75"/>
      <x:c r="V190" s="75"/>
      <x:c r="W190" s="75"/>
      <x:c r="X190" s="75"/>
      <x:c r="Y190" s="75"/>
      <x:c r="Z190" s="75"/>
    </x:row>
    <x:row r="191">
      <x:c r="A191" s="75"/>
      <x:c r="B191" s="75"/>
      <x:c r="C191" s="75"/>
      <x:c r="D191" s="75"/>
      <x:c r="E191" s="75"/>
      <x:c r="F191" s="75"/>
      <x:c r="G191" s="75"/>
      <x:c r="H191" s="75"/>
      <x:c r="I191" s="75"/>
      <x:c r="J191" s="75"/>
      <x:c r="K191" s="75"/>
      <x:c r="L191" s="75"/>
      <x:c r="M191" s="75"/>
      <x:c r="N191" s="75"/>
      <x:c r="O191" s="75"/>
      <x:c r="P191" s="75"/>
      <x:c r="Q191" s="75"/>
      <x:c r="R191" s="75"/>
      <x:c r="S191" s="75"/>
      <x:c r="T191" s="75"/>
      <x:c r="U191" s="75"/>
      <x:c r="V191" s="75"/>
      <x:c r="W191" s="75"/>
      <x:c r="X191" s="75"/>
      <x:c r="Y191" s="75"/>
      <x:c r="Z191" s="75"/>
    </x:row>
    <x:row r="192">
      <x:c r="A192" s="75"/>
      <x:c r="B192" s="75"/>
      <x:c r="C192" s="75"/>
      <x:c r="D192" s="75"/>
      <x:c r="E192" s="75"/>
      <x:c r="F192" s="75"/>
      <x:c r="G192" s="75"/>
      <x:c r="H192" s="75"/>
      <x:c r="I192" s="75"/>
      <x:c r="J192" s="75"/>
      <x:c r="K192" s="75"/>
      <x:c r="L192" s="75"/>
      <x:c r="M192" s="75"/>
      <x:c r="N192" s="75"/>
      <x:c r="O192" s="75"/>
      <x:c r="P192" s="75"/>
      <x:c r="Q192" s="75"/>
      <x:c r="R192" s="75"/>
      <x:c r="S192" s="75"/>
      <x:c r="T192" s="75"/>
      <x:c r="U192" s="75"/>
      <x:c r="V192" s="75"/>
      <x:c r="W192" s="75"/>
      <x:c r="X192" s="75"/>
      <x:c r="Y192" s="75"/>
      <x:c r="Z192" s="75"/>
    </x:row>
    <x:row r="193">
      <x:c r="A193" s="75"/>
      <x:c r="B193" s="75"/>
      <x:c r="C193" s="75"/>
      <x:c r="D193" s="75"/>
      <x:c r="E193" s="75"/>
      <x:c r="F193" s="75"/>
      <x:c r="G193" s="75"/>
      <x:c r="H193" s="75"/>
      <x:c r="I193" s="75"/>
      <x:c r="J193" s="75"/>
      <x:c r="K193" s="75"/>
      <x:c r="L193" s="75"/>
      <x:c r="M193" s="75"/>
      <x:c r="N193" s="75"/>
      <x:c r="O193" s="75"/>
      <x:c r="P193" s="75"/>
      <x:c r="Q193" s="75"/>
      <x:c r="R193" s="75"/>
      <x:c r="S193" s="75"/>
      <x:c r="T193" s="75"/>
      <x:c r="U193" s="75"/>
      <x:c r="V193" s="75"/>
      <x:c r="W193" s="75"/>
      <x:c r="X193" s="75"/>
      <x:c r="Y193" s="75"/>
      <x:c r="Z193" s="75"/>
    </x:row>
    <x:row r="194">
      <x:c r="A194" s="75"/>
      <x:c r="B194" s="75"/>
      <x:c r="C194" s="75"/>
      <x:c r="D194" s="75"/>
      <x:c r="E194" s="75"/>
      <x:c r="F194" s="75"/>
      <x:c r="G194" s="75"/>
      <x:c r="H194" s="75"/>
      <x:c r="I194" s="75"/>
      <x:c r="J194" s="75"/>
      <x:c r="K194" s="75"/>
      <x:c r="L194" s="75"/>
      <x:c r="M194" s="75"/>
      <x:c r="N194" s="75"/>
      <x:c r="O194" s="75"/>
      <x:c r="P194" s="75"/>
      <x:c r="Q194" s="75"/>
      <x:c r="R194" s="75"/>
      <x:c r="S194" s="75"/>
      <x:c r="T194" s="75"/>
      <x:c r="U194" s="75"/>
      <x:c r="V194" s="75"/>
      <x:c r="W194" s="75"/>
      <x:c r="X194" s="75"/>
      <x:c r="Y194" s="75"/>
      <x:c r="Z194" s="75"/>
    </x:row>
    <x:row r="195">
      <x:c r="A195" s="75"/>
      <x:c r="B195" s="75"/>
      <x:c r="C195" s="75"/>
      <x:c r="D195" s="75"/>
      <x:c r="E195" s="75"/>
      <x:c r="F195" s="75"/>
      <x:c r="G195" s="75"/>
      <x:c r="H195" s="75"/>
      <x:c r="I195" s="75"/>
      <x:c r="J195" s="75"/>
      <x:c r="K195" s="75"/>
      <x:c r="L195" s="75"/>
      <x:c r="M195" s="75"/>
      <x:c r="N195" s="75"/>
      <x:c r="O195" s="75"/>
      <x:c r="P195" s="75"/>
      <x:c r="Q195" s="75"/>
      <x:c r="R195" s="75"/>
      <x:c r="S195" s="75"/>
      <x:c r="T195" s="75"/>
      <x:c r="U195" s="75"/>
      <x:c r="V195" s="75"/>
      <x:c r="W195" s="75"/>
      <x:c r="X195" s="75"/>
      <x:c r="Y195" s="75"/>
      <x:c r="Z195" s="75"/>
    </x:row>
    <x:row r="196">
      <x:c r="A196" s="75"/>
      <x:c r="B196" s="75"/>
      <x:c r="C196" s="75"/>
      <x:c r="D196" s="75"/>
      <x:c r="E196" s="75"/>
      <x:c r="F196" s="75"/>
      <x:c r="G196" s="75"/>
      <x:c r="H196" s="75"/>
      <x:c r="I196" s="75"/>
      <x:c r="J196" s="75"/>
      <x:c r="K196" s="75"/>
      <x:c r="L196" s="75"/>
      <x:c r="M196" s="75"/>
      <x:c r="N196" s="75"/>
      <x:c r="O196" s="75"/>
      <x:c r="P196" s="75"/>
      <x:c r="Q196" s="75"/>
      <x:c r="R196" s="75"/>
      <x:c r="S196" s="75"/>
      <x:c r="T196" s="75"/>
      <x:c r="U196" s="75"/>
      <x:c r="V196" s="75"/>
      <x:c r="W196" s="75"/>
      <x:c r="X196" s="75"/>
      <x:c r="Y196" s="75"/>
      <x:c r="Z196" s="75"/>
    </x:row>
    <x:row r="197">
      <x:c r="A197" s="75"/>
      <x:c r="B197" s="75"/>
      <x:c r="C197" s="75"/>
      <x:c r="D197" s="75"/>
      <x:c r="E197" s="75"/>
      <x:c r="F197" s="75"/>
      <x:c r="G197" s="75"/>
      <x:c r="H197" s="75"/>
      <x:c r="I197" s="75"/>
      <x:c r="J197" s="75"/>
      <x:c r="K197" s="75"/>
      <x:c r="L197" s="75"/>
      <x:c r="M197" s="75"/>
      <x:c r="N197" s="75"/>
      <x:c r="O197" s="75"/>
      <x:c r="P197" s="75"/>
      <x:c r="Q197" s="75"/>
      <x:c r="R197" s="75"/>
      <x:c r="S197" s="75"/>
      <x:c r="T197" s="75"/>
      <x:c r="U197" s="75"/>
      <x:c r="V197" s="75"/>
      <x:c r="W197" s="75"/>
      <x:c r="X197" s="75"/>
      <x:c r="Y197" s="75"/>
      <x:c r="Z197" s="75"/>
    </x:row>
    <x:row r="198">
      <x:c r="A198" s="75"/>
      <x:c r="B198" s="75"/>
      <x:c r="C198" s="75"/>
      <x:c r="D198" s="75"/>
      <x:c r="E198" s="75"/>
      <x:c r="F198" s="75"/>
      <x:c r="G198" s="75"/>
      <x:c r="H198" s="75"/>
      <x:c r="I198" s="75"/>
      <x:c r="J198" s="75"/>
      <x:c r="K198" s="75"/>
      <x:c r="L198" s="75"/>
      <x:c r="M198" s="75"/>
      <x:c r="N198" s="75"/>
      <x:c r="O198" s="75"/>
      <x:c r="P198" s="75"/>
      <x:c r="Q198" s="75"/>
      <x:c r="R198" s="75"/>
      <x:c r="S198" s="75"/>
      <x:c r="T198" s="75"/>
      <x:c r="U198" s="75"/>
      <x:c r="V198" s="75"/>
      <x:c r="W198" s="75"/>
      <x:c r="X198" s="75"/>
      <x:c r="Y198" s="75"/>
      <x:c r="Z198" s="75"/>
    </x:row>
    <x:row r="199">
      <x:c r="A199" s="75"/>
      <x:c r="B199" s="75"/>
      <x:c r="C199" s="75"/>
      <x:c r="D199" s="75"/>
      <x:c r="E199" s="75"/>
      <x:c r="F199" s="75"/>
      <x:c r="G199" s="75"/>
      <x:c r="H199" s="75"/>
      <x:c r="I199" s="75"/>
      <x:c r="J199" s="75"/>
      <x:c r="K199" s="75"/>
      <x:c r="L199" s="75"/>
      <x:c r="M199" s="75"/>
      <x:c r="N199" s="75"/>
      <x:c r="O199" s="75"/>
      <x:c r="P199" s="75"/>
      <x:c r="Q199" s="75"/>
      <x:c r="R199" s="75"/>
      <x:c r="S199" s="75"/>
      <x:c r="T199" s="75"/>
      <x:c r="U199" s="75"/>
      <x:c r="V199" s="75"/>
      <x:c r="W199" s="75"/>
      <x:c r="X199" s="75"/>
      <x:c r="Y199" s="75"/>
      <x:c r="Z199" s="75"/>
    </x:row>
    <x:row r="200">
      <x:c r="A200" s="75"/>
      <x:c r="B200" s="75"/>
      <x:c r="C200" s="75"/>
      <x:c r="D200" s="75"/>
      <x:c r="E200" s="75"/>
      <x:c r="F200" s="75"/>
      <x:c r="G200" s="75"/>
      <x:c r="H200" s="75"/>
      <x:c r="I200" s="75"/>
      <x:c r="J200" s="75"/>
      <x:c r="K200" s="75"/>
      <x:c r="L200" s="75"/>
      <x:c r="M200" s="75"/>
      <x:c r="N200" s="75"/>
      <x:c r="O200" s="75"/>
      <x:c r="P200" s="75"/>
      <x:c r="Q200" s="75"/>
      <x:c r="R200" s="75"/>
      <x:c r="S200" s="75"/>
      <x:c r="T200" s="75"/>
      <x:c r="U200" s="75"/>
      <x:c r="V200" s="75"/>
      <x:c r="W200" s="75"/>
      <x:c r="X200" s="75"/>
      <x:c r="Y200" s="75"/>
      <x:c r="Z200" s="75"/>
    </x:row>
  </x:sheetData>
  <x:mergeCells>
    <x:mergeCell ref="A1:G2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2" hidden="0" customWidth="1"/>
    <x:col min="4" max="4" width="30" hidden="0" customWidth="1"/>
    <x:col min="5" max="5" width="46" hidden="0" customWidth="1"/>
    <x:col min="6" max="6" width="38" hidden="0" customWidth="1"/>
    <x:col min="7" max="7" width="42" hidden="0" customWidth="1"/>
    <x:col min="8" max="8" width="42" hidden="0" customWidth="1"/>
    <x:col min="9" max="9" width="14" hidden="0" customWidth="1"/>
    <x:col min="10" max="10" width="16" hidden="0" customWidth="1"/>
  </x:cols>
  <x:sheetData>
    <x:row r="1">
      <x:c r="A1" s="94" t="str">
        <x:v>Reference &amp; Benchmark Register — GEM™ V3.0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94"/>
      <x:c r="B2" s="94"/>
      <x:c r="C2" s="94"/>
      <x:c r="D2" s="94"/>
      <x:c r="E2" s="94"/>
      <x:c r="F2" s="94"/>
      <x:c r="G2" s="94"/>
      <x:c r="H2" s="94"/>
      <x:c r="I2" s="94"/>
      <x:c r="J2" s="94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A3" s="102" t="str">
        <x:v>Source hierarchy: 1) GEM-approved decisions → 2) GEM source evidence → 3) formal technical/legal standards → 4) curated industry benchmarks → 5) creative inspiration. Benchmark libraries do not override approved GEM rules.</x:v>
      </x:c>
      <x:c r="B3" s="102"/>
      <x:c r="C3" s="102"/>
      <x:c r="D3" s="102"/>
      <x:c r="E3" s="102"/>
      <x:c r="F3" s="102"/>
      <x:c r="G3" s="102"/>
      <x:c r="H3" s="102"/>
      <x:c r="I3" s="102"/>
      <x:c r="J3" s="102"/>
      <x:c r="K3" s="75"/>
      <x:c r="L3" s="75"/>
      <x:c r="M3" s="75"/>
      <x:c r="N3" s="75"/>
      <x:c r="O3" s="75"/>
      <x:c r="P3" s="75"/>
      <x:c r="Q3" s="75"/>
      <x:c r="R3" s="75"/>
      <x:c r="S3" s="75"/>
      <x:c r="T3" s="75"/>
      <x:c r="U3" s="75"/>
      <x:c r="V3" s="75"/>
      <x:c r="W3" s="75"/>
      <x:c r="X3" s="75"/>
      <x:c r="Y3" s="75"/>
      <x:c r="Z3" s="75"/>
    </x:row>
    <x:row r="4">
      <x:c r="A4" s="102"/>
      <x:c r="B4" s="102"/>
      <x:c r="C4" s="102"/>
      <x:c r="D4" s="102"/>
      <x:c r="E4" s="102"/>
      <x:c r="F4" s="102"/>
      <x:c r="G4" s="102"/>
      <x:c r="H4" s="102"/>
      <x:c r="I4" s="102"/>
      <x:c r="J4" s="102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A5" s="75"/>
      <x:c r="B5" s="75"/>
      <x:c r="C5" s="75"/>
      <x:c r="D5" s="75"/>
      <x:c r="E5" s="75"/>
      <x:c r="F5" s="75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A6" s="96" t="str">
        <x:v>Ref ID</x:v>
      </x:c>
      <x:c r="B6" s="96" t="str">
        <x:v>Source</x:v>
      </x:c>
      <x:c r="C6" s="96" t="str">
        <x:v>Type</x:v>
      </x:c>
      <x:c r="D6" s="96" t="str">
        <x:v>Registered Role</x:v>
      </x:c>
      <x:c r="E6" s="96" t="str">
        <x:v>Key Notes / What to Learn</x:v>
      </x:c>
      <x:c r="F6" s="96" t="str">
        <x:v>Use in V3.0</x:v>
      </x:c>
      <x:c r="G6" s="96" t="str">
        <x:v>IP / Caution</x:v>
      </x:c>
      <x:c r="H6" s="96" t="str">
        <x:v>URL</x:v>
      </x:c>
      <x:c r="I6" s="96" t="str">
        <x:v>Reviewed</x:v>
      </x:c>
      <x:c r="J6" s="96" t="str">
        <x:v>Authority</x:v>
      </x:c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60" customHeight="1">
      <x:c r="A7" s="97" t="str">
        <x:v>SRC-01</x:v>
      </x:c>
      <x:c r="B7" s="97" t="str">
        <x:v>GEM™ Brand Guidelines V2.0</x:v>
      </x:c>
      <x:c r="C7" s="97" t="str">
        <x:v>GEM source</x:v>
      </x:c>
      <x:c r="D7" s="97" t="str">
        <x:v>Normative identity source</x:v>
      </x:c>
      <x:c r="E7" s="97" t="str">
        <x:v>Core mark, palette, tagline, voice, typography direction, geometry, imagery/motion and hospitality applications.</x:v>
      </x:c>
      <x:c r="F7" s="97" t="str">
        <x:v>Primary source for identity rules.</x:v>
      </x:c>
      <x:c r="G7" s="97" t="str">
        <x:v>Attached source file; preserve approved artwork and wording.</x:v>
      </x:c>
      <x:c r="H7" s="97" t="str">
        <x:v>Attached file: GEM™ — Brand Guidelines.pptx</x:v>
      </x:c>
      <x:c r="I7" s="97" t="str">
        <x:v>2026-10-05</x:v>
      </x:c>
      <x:c r="J7" s="97" t="str">
        <x:v>High</x:v>
      </x:c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60" customHeight="1">
      <x:c r="A8" s="97" t="str">
        <x:v>SRC-02</x:v>
      </x:c>
      <x:c r="B8" s="97" t="str">
        <x:v>GEM V2 Full Brand and Kit Audit</x:v>
      </x:c>
      <x:c r="C8" s="97" t="str">
        <x:v>GEM source</x:v>
      </x:c>
      <x:c r="D8" s="97" t="str">
        <x:v>Readiness / gap evidence</x:v>
      </x:c>
      <x:c r="E8" s="97" t="str">
        <x:v>Architecture, asset, production, packaging, digital token, accessibility, localization and governance findings.</x:v>
      </x:c>
      <x:c r="F8" s="97" t="str">
        <x:v>Primary source for unresolved release gates and QA.</x:v>
      </x:c>
      <x:c r="G8" s="97" t="str">
        <x:v>Audit is evidence, not a substitute for actual supplier/legal/technical validation.</x:v>
      </x:c>
      <x:c r="H8" s="97" t="str">
        <x:v>Attached file: GEM_v2_Full_Brand_and_Kit_Audit.docx</x:v>
      </x:c>
      <x:c r="I8" s="97" t="str">
        <x:v>2026-10-05</x:v>
      </x:c>
      <x:c r="J8" s="97" t="str">
        <x:v>High</x:v>
      </x:c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60" customHeight="1">
      <x:c r="A9" s="97" t="str">
        <x:v>SRC-03</x:v>
      </x:c>
      <x:c r="B9" s="97" t="str">
        <x:v>BrandV1 archive</x:v>
      </x:c>
      <x:c r="C9" s="97" t="str">
        <x:v>GEM source</x:v>
      </x:c>
      <x:c r="D9" s="97" t="str">
        <x:v>Historical reference</x:v>
      </x:c>
      <x:c r="E9" s="97" t="str">
        <x:v>Legacy artwork, typography and commercial positioning; useful for continuity and provenance.</x:v>
      </x:c>
      <x:c r="F9" s="97" t="str">
        <x:v>Archive/reference only unless explicitly re-approved.</x:v>
      </x:c>
      <x:c r="G9" s="97" t="str">
        <x:v>Do not reactivate legacy colors/type/geometry by default.</x:v>
      </x:c>
      <x:c r="H9" s="97" t="str">
        <x:v>Attached file: BrandV1.zip</x:v>
      </x:c>
      <x:c r="I9" s="97" t="str">
        <x:v>2026-10-05</x:v>
      </x:c>
      <x:c r="J9" s="97" t="str">
        <x:v>Reference</x:v>
      </x:c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60" customHeight="1">
      <x:c r="A10" s="97" t="str">
        <x:v>SRC-04</x:v>
      </x:c>
      <x:c r="B10" s="97" t="str">
        <x:v>GEM Design System v2.1 — Working Specification</x:v>
      </x:c>
      <x:c r="C10" s="97" t="str">
        <x:v>GEM source</x:v>
      </x:c>
      <x:c r="D10" s="97" t="str">
        <x:v>Working digital/product design-system source</x:v>
      </x:c>
      <x:c r="E10" s="97" t="str">
        <x:v>Defines content fundamentals, logo usage, semantic colour tokens, Jost/Inter typography, spacing, motion, accessibility, React components, application templates and a proposed Amenities &amp; Packaging stream.</x:v>
      </x:c>
      <x:c r="F10" s="97" t="str">
        <x:v>Primary working source for digital/product implementation and for tightening V3.0 decisions; also identifies unresolved production assets, Arabic readiness, wayfinding and packaging proof.</x:v>
      </x:c>
      <x:c r="G10" s="97" t="str">
        <x:v>Working specification, not a final release. It explicitly notes missing vector/micro logo assets and marks Arabic and Amenities &amp; Packaging as proposed.</x:v>
      </x:c>
      <x:c r="H10" s="97" t="str">
        <x:v>Attached file: GEM_Design_System.pdf</x:v>
      </x:c>
      <x:c r="I10" s="97" t="str">
        <x:v>2026-10-06</x:v>
      </x:c>
      <x:c r="J10" s="97" t="str">
        <x:v>High (working specification)</x:v>
      </x:c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60" customHeight="1">
      <x:c r="A11" s="97" t="str">
        <x:v>BEN-01</x:v>
      </x:c>
      <x:c r="B11" s="97" t="str">
        <x:v>Visual Journal</x:v>
      </x:c>
      <x:c r="C11" s="97" t="str">
        <x:v>Creative inspiration</x:v>
      </x:c>
      <x:c r="D11" s="97" t="str">
        <x:v>Visual/editorial inspiration benchmark</x:v>
      </x:c>
      <x:c r="E11" s="97" t="str">
        <x:v>Curated branding and graphic-design work selected by Alessandro Scarpellini; reductive, modernist, editorial lens.</x:v>
      </x:c>
      <x:c r="F11" s="97" t="str">
        <x:v>Composition, restraint, whitespace, typography rhythm, image cropping, presentation quality.</x:v>
      </x:c>
      <x:c r="G11" s="97" t="str">
        <x:v>Inspiration only; do not copy case-study assets or distinctive compositions.</x:v>
      </x:c>
      <x:c r="H11" s="97" t="str">
        <x:v>https://visualjournal.it</x:v>
      </x:c>
      <x:c r="I11" s="97" t="str">
        <x:v>2026-10-05</x:v>
      </x:c>
      <x:c r="J11" s="97" t="str">
        <x:v>Benchmark</x:v>
      </x:c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60" customHeight="1">
      <x:c r="A12" s="97" t="str">
        <x:v>BEN-02</x:v>
      </x:c>
      <x:c r="B12" s="97" t="str">
        <x:v>Rebrand Gallery</x:v>
      </x:c>
      <x:c r="C12" s="97" t="str">
        <x:v>Curated benchmark</x:v>
      </x:c>
      <x:c r="D12" s="97" t="str">
        <x:v>Brand launch, reveal, motion and application benchmark</x:v>
      </x:c>
      <x:c r="E12" s="97" t="str">
        <x:v>Curated rebrands/visual identities with reveal videos, logos, colors, type, guideline deep-dives and application shots.</x:v>
      </x:c>
      <x:c r="F12" s="97" t="str">
        <x:v>Identity launch sequence, motion, application breadth, system demonstration.</x:v>
      </x:c>
      <x:c r="G12" s="97" t="str">
        <x:v>Third-party brand media remains owned by respective rights holders; study, do not reproduce.</x:v>
      </x:c>
      <x:c r="H12" s="97" t="str">
        <x:v>https://www.rebrand.gallery/</x:v>
      </x:c>
      <x:c r="I12" s="97" t="str">
        <x:v>2026-10-05</x:v>
      </x:c>
      <x:c r="J12" s="97" t="str">
        <x:v>Benchmark</x:v>
      </x:c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60" customHeight="1">
      <x:c r="A13" s="97" t="str">
        <x:v>BEN-03</x:v>
      </x:c>
      <x:c r="B13" s="97" t="str">
        <x:v>BrandGuidelines.net</x:v>
      </x:c>
      <x:c r="C13" s="97" t="str">
        <x:v>Curated benchmark</x:v>
      </x:c>
      <x:c r="D13" s="97" t="str">
        <x:v>Brand-manual structure / completeness benchmark</x:v>
      </x:c>
      <x:c r="E13" s="97" t="str">
        <x:v>Handpicked brand guidelines and template examples covering logos, principles, color, type scales, imagery, grids and mockups.</x:v>
      </x:c>
      <x:c r="F13" s="97" t="str">
        <x:v>Manual architecture, usability, completeness, implementation guidance.</x:v>
      </x:c>
      <x:c r="G13" s="97" t="str">
        <x:v>Curated design reference, not a formal standard; website content is copyrighted.</x:v>
      </x:c>
      <x:c r="H13" s="97" t="str">
        <x:v>https://www.brandguidelines.net/</x:v>
      </x:c>
      <x:c r="I13" s="97" t="str">
        <x:v>2026-10-05</x:v>
      </x:c>
      <x:c r="J13" s="97" t="str">
        <x:v>Benchmark</x:v>
      </x:c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60" customHeight="1">
      <x:c r="A14" s="97" t="str">
        <x:v>BEN-04</x:v>
      </x:c>
      <x:c r="B14" s="97" t="str">
        <x:v>LogoSystem</x:v>
      </x:c>
      <x:c r="C14" s="97" t="str">
        <x:v>Curated benchmark</x:v>
      </x:c>
      <x:c r="D14" s="97" t="str">
        <x:v>Logo-system and distinctiveness benchmark</x:v>
      </x:c>
      <x:c r="E14" s="97" t="str">
        <x:v>1,300+ curated logos searchable by type, industry, style, shape, color and mood; includes Travel &amp; Hospitality and animated marks.</x:v>
      </x:c>
      <x:c r="F14" s="97" t="str">
        <x:v>Category adjacency, simplicity, geometry, responsive mark behavior, distinctiveness review.</x:v>
      </x:c>
      <x:c r="G14" s="97" t="str">
        <x:v>Explicitly inspiration only; logos belong to their brands/designers and must not be copied.</x:v>
      </x:c>
      <x:c r="H14" s="97" t="str">
        <x:v>https://logosystem.co/</x:v>
      </x:c>
      <x:c r="I14" s="97" t="str">
        <x:v>2026-10-05</x:v>
      </x:c>
      <x:c r="J14" s="97" t="str">
        <x:v>Benchmark</x:v>
      </x:c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60" customHeight="1">
      <x:c r="A15" s="97" t="str">
        <x:v>BEN-05</x:v>
      </x:c>
      <x:c r="B15" s="97" t="str">
        <x:v>Deck.gallery</x:v>
      </x:c>
      <x:c r="C15" s="97" t="str">
        <x:v>Curated benchmark</x:v>
      </x:c>
      <x:c r="D15" s="97" t="str">
        <x:v>Guideline/deck structure and visual communication benchmark</x:v>
      </x:c>
      <x:c r="E15" s="97" t="str">
        <x:v>Curated deck library with dedicated Guideline category and cross-industry examples.</x:v>
      </x:c>
      <x:c r="F15" s="97" t="str">
        <x:v>Section sequencing, slide rhythm, page density, navigation, implementation examples and overall usability.</x:v>
      </x:c>
      <x:c r="G15" s="97" t="str">
        <x:v>Presentation benchmark only; do not reproduce third-party deck content.</x:v>
      </x:c>
      <x:c r="H15" s="97" t="str">
        <x:v>https://deck.gallery/</x:v>
      </x:c>
      <x:c r="I15" s="97" t="str">
        <x:v>2026-10-05</x:v>
      </x:c>
      <x:c r="J15" s="97" t="str">
        <x:v>Benchmark</x:v>
      </x:c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60" customHeight="1">
      <x:c r="A16" s="97" t="str">
        <x:v>STD-01</x:v>
      </x:c>
      <x:c r="B16" s="97" t="str">
        <x:v>W3C WCAG 2.2 — Contrast (Minimum)</x:v>
      </x:c>
      <x:c r="C16" s="97" t="str">
        <x:v>Formal technical standard</x:v>
      </x:c>
      <x:c r="D16" s="97" t="str">
        <x:v>Accessibility standard</x:v>
      </x:c>
      <x:c r="E16" s="97" t="str">
        <x:v>Authoritative accessibility guidance for minimum text contrast.</x:v>
      </x:c>
      <x:c r="F16" s="97" t="str">
        <x:v>Digital/UI and document accessibility acceptance criteria.</x:v>
      </x:c>
      <x:c r="G16" s="97" t="str">
        <x:v>Formal technical standard; apply in context and test actual implementations.</x:v>
      </x:c>
      <x:c r="H16" s="97" t="str">
        <x:v>https://www.w3.org/WAI/WCAG22/Understanding/contrast-minimum.html</x:v>
      </x:c>
      <x:c r="I16" s="97" t="str">
        <x:v>2026-10-05</x:v>
      </x:c>
      <x:c r="J16" s="97" t="str">
        <x:v>Formal standard</x:v>
      </x:c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A17" s="75" t="str">
        <x:v>STD-02</x:v>
      </x:c>
      <x:c r="B17" s="75" t="str">
        <x:v>W3C WCAG 2.2 — Non-text Contrast</x:v>
      </x:c>
      <x:c r="C17" s="75" t="str">
        <x:v>Formal technical standard</x:v>
      </x:c>
      <x:c r="D17" s="75" t="str">
        <x:v>Accessibility standard</x:v>
      </x:c>
      <x:c r="E17" s="75" t="str">
        <x:v>Authoritative guidance for meaningful UI/control boundaries and graphical objects.</x:v>
      </x:c>
      <x:c r="F17" s="75" t="str">
        <x:v>Digital/UI component states, controls and meaningful non-text elements.</x:v>
      </x:c>
      <x:c r="G17" s="75" t="str">
        <x:v>Formal technical standard; does not itself certify whole-product accessibility.</x:v>
      </x:c>
      <x:c r="H17" s="75" t="str">
        <x:v>https://www.w3.org/WAI/WCAG22/Understanding/non-text-contrast.html</x:v>
      </x:c>
      <x:c r="I17" s="75" t="str">
        <x:v>2026-10-05</x:v>
      </x:c>
      <x:c r="J17" s="75" t="str">
        <x:v>Formal standard</x:v>
      </x:c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A18" s="75"/>
      <x:c r="B18" s="75"/>
      <x:c r="C18" s="75"/>
      <x:c r="D18" s="75"/>
      <x:c r="E18" s="75"/>
      <x:c r="F18" s="75"/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A19" s="75"/>
      <x:c r="B19" s="75"/>
      <x:c r="C19" s="75"/>
      <x:c r="D19" s="75"/>
      <x:c r="E19" s="75"/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A20" s="75"/>
      <x:c r="B20" s="75"/>
      <x:c r="C20" s="75"/>
      <x:c r="D20" s="75"/>
      <x:c r="E20" s="75"/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A21" s="75"/>
      <x:c r="B21" s="75"/>
      <x:c r="C21" s="75"/>
      <x:c r="D21" s="75"/>
      <x:c r="E21" s="75"/>
      <x:c r="F21" s="75"/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A22" s="75"/>
      <x:c r="B22" s="75"/>
      <x:c r="C22" s="75"/>
      <x:c r="D22" s="75"/>
      <x:c r="E22" s="75"/>
      <x:c r="F22" s="75"/>
      <x:c r="G22" s="75"/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A23" s="75"/>
      <x:c r="B23" s="75"/>
      <x:c r="C23" s="75"/>
      <x:c r="D23" s="75"/>
      <x:c r="E23" s="75"/>
      <x:c r="F23" s="75"/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A24" s="75"/>
      <x:c r="B24" s="75"/>
      <x:c r="C24" s="75"/>
      <x:c r="D24" s="75"/>
      <x:c r="E24" s="75"/>
      <x:c r="F24" s="75"/>
      <x:c r="G24" s="75"/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A25" s="75"/>
      <x:c r="B25" s="75"/>
      <x:c r="C25" s="75"/>
      <x:c r="D25" s="75"/>
      <x:c r="E25" s="75"/>
      <x:c r="F25" s="75"/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A26" s="75"/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A27" s="75"/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A30" s="75"/>
      <x:c r="B30" s="75"/>
      <x:c r="C30" s="75"/>
      <x:c r="D30" s="75"/>
      <x:c r="E30" s="75"/>
      <x:c r="F30" s="75"/>
      <x:c r="G30" s="75"/>
      <x:c r="H30" s="75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A66" s="75"/>
      <x:c r="B66" s="75"/>
      <x:c r="C66" s="75"/>
      <x:c r="D66" s="75"/>
      <x:c r="E66" s="75"/>
      <x:c r="F66" s="75"/>
      <x:c r="G66" s="75"/>
      <x:c r="H66" s="75"/>
      <x:c r="I66" s="75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A67" s="75"/>
      <x:c r="B67" s="75"/>
      <x:c r="C67" s="75"/>
      <x:c r="D67" s="75"/>
      <x:c r="E67" s="75"/>
      <x:c r="F67" s="75"/>
      <x:c r="G67" s="75"/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A68" s="75"/>
      <x:c r="B68" s="75"/>
      <x:c r="C68" s="75"/>
      <x:c r="D68" s="75"/>
      <x:c r="E68" s="75"/>
      <x:c r="F68" s="75"/>
      <x:c r="G68" s="75"/>
      <x:c r="H68" s="75"/>
      <x:c r="I68" s="75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A69" s="75"/>
      <x:c r="B69" s="75"/>
      <x:c r="C69" s="75"/>
      <x:c r="D69" s="75"/>
      <x:c r="E69" s="75"/>
      <x:c r="F69" s="75"/>
      <x:c r="G69" s="75"/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A70" s="75"/>
      <x:c r="B70" s="75"/>
      <x:c r="C70" s="75"/>
      <x:c r="D70" s="75"/>
      <x:c r="E70" s="75"/>
      <x:c r="F70" s="75"/>
      <x:c r="G70" s="75"/>
      <x:c r="H70" s="75"/>
      <x:c r="I70" s="75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A71" s="75"/>
      <x:c r="B71" s="75"/>
      <x:c r="C71" s="75"/>
      <x:c r="D71" s="75"/>
      <x:c r="E71" s="75"/>
      <x:c r="F71" s="75"/>
      <x:c r="G71" s="75"/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A72" s="75"/>
      <x:c r="B72" s="75"/>
      <x:c r="C72" s="75"/>
      <x:c r="D72" s="75"/>
      <x:c r="E72" s="75"/>
      <x:c r="F72" s="75"/>
      <x:c r="G72" s="75"/>
      <x:c r="H72" s="75"/>
      <x:c r="I72" s="75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A73" s="75"/>
      <x:c r="B73" s="75"/>
      <x:c r="C73" s="75"/>
      <x:c r="D73" s="75"/>
      <x:c r="E73" s="75"/>
      <x:c r="F73" s="75"/>
      <x:c r="G73" s="75"/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A74" s="75"/>
      <x:c r="B74" s="75"/>
      <x:c r="C74" s="75"/>
      <x:c r="D74" s="75"/>
      <x:c r="E74" s="75"/>
      <x:c r="F74" s="75"/>
      <x:c r="G74" s="75"/>
      <x:c r="H74" s="75"/>
      <x:c r="I74" s="75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A75" s="75"/>
      <x:c r="B75" s="75"/>
      <x:c r="C75" s="75"/>
      <x:c r="D75" s="75"/>
      <x:c r="E75" s="75"/>
      <x:c r="F75" s="75"/>
      <x:c r="G75" s="75"/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A76" s="75"/>
      <x:c r="B76" s="75"/>
      <x:c r="C76" s="75"/>
      <x:c r="D76" s="75"/>
      <x:c r="E76" s="75"/>
      <x:c r="F76" s="75"/>
      <x:c r="G76" s="75"/>
      <x:c r="H76" s="75"/>
      <x:c r="I76" s="75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A77" s="75"/>
      <x:c r="B77" s="75"/>
      <x:c r="C77" s="75"/>
      <x:c r="D77" s="75"/>
      <x:c r="E77" s="75"/>
      <x:c r="F77" s="75"/>
      <x:c r="G77" s="75"/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A78" s="75"/>
      <x:c r="B78" s="75"/>
      <x:c r="C78" s="75"/>
      <x:c r="D78" s="75"/>
      <x:c r="E78" s="75"/>
      <x:c r="F78" s="75"/>
      <x:c r="G78" s="75"/>
      <x:c r="H78" s="75"/>
      <x:c r="I78" s="75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A79" s="75"/>
      <x:c r="B79" s="75"/>
      <x:c r="C79" s="75"/>
      <x:c r="D79" s="75"/>
      <x:c r="E79" s="75"/>
      <x:c r="F79" s="75"/>
      <x:c r="G79" s="75"/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A80" s="75"/>
      <x:c r="B80" s="75"/>
      <x:c r="C80" s="75"/>
      <x:c r="D80" s="75"/>
      <x:c r="E80" s="75"/>
      <x:c r="F80" s="75"/>
      <x:c r="G80" s="75"/>
      <x:c r="H80" s="75"/>
      <x:c r="I80" s="75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A81" s="75"/>
      <x:c r="B81" s="75"/>
      <x:c r="C81" s="75"/>
      <x:c r="D81" s="75"/>
      <x:c r="E81" s="75"/>
      <x:c r="F81" s="75"/>
      <x:c r="G81" s="75"/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A82" s="75"/>
      <x:c r="B82" s="75"/>
      <x:c r="C82" s="75"/>
      <x:c r="D82" s="75"/>
      <x:c r="E82" s="75"/>
      <x:c r="F82" s="75"/>
      <x:c r="G82" s="75"/>
      <x:c r="H82" s="75"/>
      <x:c r="I82" s="75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A83" s="75"/>
      <x:c r="B83" s="75"/>
      <x:c r="C83" s="75"/>
      <x:c r="D83" s="75"/>
      <x:c r="E83" s="75"/>
      <x:c r="F83" s="75"/>
      <x:c r="G83" s="75"/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A84" s="75"/>
      <x:c r="B84" s="75"/>
      <x:c r="C84" s="75"/>
      <x:c r="D84" s="75"/>
      <x:c r="E84" s="75"/>
      <x:c r="F84" s="75"/>
      <x:c r="G84" s="75"/>
      <x:c r="H84" s="75"/>
      <x:c r="I84" s="75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A85" s="75"/>
      <x:c r="B85" s="75"/>
      <x:c r="C85" s="75"/>
      <x:c r="D85" s="75"/>
      <x:c r="E85" s="75"/>
      <x:c r="F85" s="75"/>
      <x:c r="G85" s="75"/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A86" s="75"/>
      <x:c r="B86" s="75"/>
      <x:c r="C86" s="75"/>
      <x:c r="D86" s="75"/>
      <x:c r="E86" s="75"/>
      <x:c r="F86" s="75"/>
      <x:c r="G86" s="75"/>
      <x:c r="H86" s="75"/>
      <x:c r="I86" s="75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A87" s="75"/>
      <x:c r="B87" s="75"/>
      <x:c r="C87" s="75"/>
      <x:c r="D87" s="75"/>
      <x:c r="E87" s="75"/>
      <x:c r="F87" s="75"/>
      <x:c r="G87" s="75"/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A88" s="75"/>
      <x:c r="B88" s="75"/>
      <x:c r="C88" s="75"/>
      <x:c r="D88" s="75"/>
      <x:c r="E88" s="75"/>
      <x:c r="F88" s="75"/>
      <x:c r="G88" s="75"/>
      <x:c r="H88" s="75"/>
      <x:c r="I88" s="75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A89" s="75"/>
      <x:c r="B89" s="75"/>
      <x:c r="C89" s="75"/>
      <x:c r="D89" s="75"/>
      <x:c r="E89" s="75"/>
      <x:c r="F89" s="75"/>
      <x:c r="G89" s="75"/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A90" s="75"/>
      <x:c r="B90" s="75"/>
      <x:c r="C90" s="75"/>
      <x:c r="D90" s="75"/>
      <x:c r="E90" s="75"/>
      <x:c r="F90" s="75"/>
      <x:c r="G90" s="75"/>
      <x:c r="H90" s="75"/>
      <x:c r="I90" s="75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A91" s="75"/>
      <x:c r="B91" s="75"/>
      <x:c r="C91" s="75"/>
      <x:c r="D91" s="75"/>
      <x:c r="E91" s="75"/>
      <x:c r="F91" s="75"/>
      <x:c r="G91" s="75"/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A92" s="75"/>
      <x:c r="B92" s="75"/>
      <x:c r="C92" s="75"/>
      <x:c r="D92" s="75"/>
      <x:c r="E92" s="75"/>
      <x:c r="F92" s="75"/>
      <x:c r="G92" s="75"/>
      <x:c r="H92" s="75"/>
      <x:c r="I92" s="75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A93" s="75"/>
      <x:c r="B93" s="75"/>
      <x:c r="C93" s="75"/>
      <x:c r="D93" s="75"/>
      <x:c r="E93" s="75"/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A94" s="75"/>
      <x:c r="B94" s="75"/>
      <x:c r="C94" s="75"/>
      <x:c r="D94" s="75"/>
      <x:c r="E94" s="75"/>
      <x:c r="F94" s="75"/>
      <x:c r="G94" s="75"/>
      <x:c r="H94" s="75"/>
      <x:c r="I94" s="75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A95" s="75"/>
      <x:c r="B95" s="75"/>
      <x:c r="C95" s="75"/>
      <x:c r="D95" s="75"/>
      <x:c r="E95" s="75"/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A96" s="75"/>
      <x:c r="B96" s="75"/>
      <x:c r="C96" s="75"/>
      <x:c r="D96" s="75"/>
      <x:c r="E96" s="75"/>
      <x:c r="F96" s="75"/>
      <x:c r="G96" s="75"/>
      <x:c r="H96" s="75"/>
      <x:c r="I96" s="75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A97" s="75"/>
      <x:c r="B97" s="75"/>
      <x:c r="C97" s="75"/>
      <x:c r="D97" s="75"/>
      <x:c r="E97" s="75"/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A98" s="75"/>
      <x:c r="B98" s="75"/>
      <x:c r="C98" s="75"/>
      <x:c r="D98" s="75"/>
      <x:c r="E98" s="75"/>
      <x:c r="F98" s="75"/>
      <x:c r="G98" s="75"/>
      <x:c r="H98" s="75"/>
      <x:c r="I98" s="75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A99" s="75"/>
      <x:c r="B99" s="75"/>
      <x:c r="C99" s="75"/>
      <x:c r="D99" s="75"/>
      <x:c r="E99" s="75"/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A100" s="75"/>
      <x:c r="B100" s="75"/>
      <x:c r="C100" s="75"/>
      <x:c r="D100" s="75"/>
      <x:c r="E100" s="75"/>
      <x:c r="F100" s="75"/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A101" s="75"/>
      <x:c r="B101" s="75"/>
      <x:c r="C101" s="75"/>
      <x:c r="D101" s="75"/>
      <x:c r="E101" s="75"/>
      <x:c r="F101" s="75"/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A102" s="75"/>
      <x:c r="B102" s="75"/>
      <x:c r="C102" s="75"/>
      <x:c r="D102" s="75"/>
      <x:c r="E102" s="75"/>
      <x:c r="F102" s="75"/>
      <x:c r="G102" s="75"/>
      <x:c r="H102" s="75"/>
      <x:c r="I102" s="75"/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A103" s="75"/>
      <x:c r="B103" s="75"/>
      <x:c r="C103" s="75"/>
      <x:c r="D103" s="75"/>
      <x:c r="E103" s="75"/>
      <x:c r="F103" s="75"/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A104" s="75"/>
      <x:c r="B104" s="75"/>
      <x:c r="C104" s="75"/>
      <x:c r="D104" s="75"/>
      <x:c r="E104" s="75"/>
      <x:c r="F104" s="75"/>
      <x:c r="G104" s="75"/>
      <x:c r="H104" s="75"/>
      <x:c r="I104" s="75"/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A105" s="75"/>
      <x:c r="B105" s="75"/>
      <x:c r="C105" s="75"/>
      <x:c r="D105" s="75"/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A106" s="75"/>
      <x:c r="B106" s="75"/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A107" s="75"/>
      <x:c r="B107" s="75"/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A108" s="75"/>
      <x:c r="B108" s="75"/>
      <x:c r="C108" s="75"/>
      <x:c r="D108" s="75"/>
      <x:c r="E108" s="75"/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A109" s="75"/>
      <x:c r="B109" s="75"/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A110" s="75"/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A111" s="75"/>
      <x:c r="B111" s="75"/>
      <x:c r="C111" s="75"/>
      <x:c r="D111" s="75"/>
      <x:c r="E111" s="75"/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A112" s="75"/>
      <x:c r="B112" s="75"/>
      <x:c r="C112" s="75"/>
      <x:c r="D112" s="75"/>
      <x:c r="E112" s="75"/>
      <x:c r="F112" s="75"/>
      <x:c r="G112" s="75"/>
      <x:c r="H112" s="75"/>
      <x:c r="I112" s="75"/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A113" s="75"/>
      <x:c r="B113" s="75"/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A114" s="75"/>
      <x:c r="B114" s="75"/>
      <x:c r="C114" s="75"/>
      <x:c r="D114" s="75"/>
      <x:c r="E114" s="75"/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A115" s="75"/>
      <x:c r="B115" s="75"/>
      <x:c r="C115" s="75"/>
      <x:c r="D115" s="75"/>
      <x:c r="E115" s="75"/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A116" s="75"/>
      <x:c r="B116" s="75"/>
      <x:c r="C116" s="75"/>
      <x:c r="D116" s="75"/>
      <x:c r="E116" s="75"/>
      <x:c r="F116" s="75"/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A117" s="75"/>
      <x:c r="B117" s="75"/>
      <x:c r="C117" s="75"/>
      <x:c r="D117" s="75"/>
      <x:c r="E117" s="75"/>
      <x:c r="F117" s="75"/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A118" s="75"/>
      <x:c r="B118" s="75"/>
      <x:c r="C118" s="75"/>
      <x:c r="D118" s="75"/>
      <x:c r="E118" s="75"/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A119" s="75"/>
      <x:c r="B119" s="75"/>
      <x:c r="C119" s="75"/>
      <x:c r="D119" s="75"/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A120" s="75"/>
      <x:c r="B120" s="75"/>
      <x:c r="C120" s="75"/>
      <x:c r="D120" s="75"/>
      <x:c r="E120" s="75"/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A121" s="75"/>
      <x:c r="B121" s="75"/>
      <x:c r="C121" s="75"/>
      <x:c r="D121" s="75"/>
      <x:c r="E121" s="75"/>
      <x:c r="F121" s="75"/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A122" s="75"/>
      <x:c r="B122" s="75"/>
      <x:c r="C122" s="75"/>
      <x:c r="D122" s="75"/>
      <x:c r="E122" s="75"/>
      <x:c r="F122" s="75"/>
      <x:c r="G122" s="75"/>
      <x:c r="H122" s="75"/>
      <x:c r="I122" s="75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A123" s="75"/>
      <x:c r="B123" s="75"/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A124" s="75"/>
      <x:c r="B124" s="75"/>
      <x:c r="C124" s="75"/>
      <x:c r="D124" s="75"/>
      <x:c r="E124" s="75"/>
      <x:c r="F124" s="75"/>
      <x:c r="G124" s="75"/>
      <x:c r="H124" s="75"/>
      <x:c r="I124" s="75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A125" s="75"/>
      <x:c r="B125" s="75"/>
      <x:c r="C125" s="75"/>
      <x:c r="D125" s="75"/>
      <x:c r="E125" s="75"/>
      <x:c r="F125" s="75"/>
      <x:c r="G125" s="75"/>
      <x:c r="H125" s="75"/>
      <x:c r="I125" s="75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A126" s="75"/>
      <x:c r="B126" s="75"/>
      <x:c r="C126" s="75"/>
      <x:c r="D126" s="75"/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A127" s="75"/>
      <x:c r="B127" s="75"/>
      <x:c r="C127" s="75"/>
      <x:c r="D127" s="75"/>
      <x:c r="E127" s="75"/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A128" s="75"/>
      <x:c r="B128" s="75"/>
      <x:c r="C128" s="75"/>
      <x:c r="D128" s="75"/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A129" s="75"/>
      <x:c r="B129" s="75"/>
      <x:c r="C129" s="75"/>
      <x:c r="D129" s="75"/>
      <x:c r="E129" s="75"/>
      <x:c r="F129" s="75"/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A130" s="75"/>
      <x:c r="B130" s="75"/>
      <x:c r="C130" s="75"/>
      <x:c r="D130" s="75"/>
      <x:c r="E130" s="75"/>
      <x:c r="F130" s="75"/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A131" s="75"/>
      <x:c r="B131" s="75"/>
      <x:c r="C131" s="75"/>
      <x:c r="D131" s="75"/>
      <x:c r="E131" s="75"/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A132" s="75"/>
      <x:c r="B132" s="75"/>
      <x:c r="C132" s="75"/>
      <x:c r="D132" s="75"/>
      <x:c r="E132" s="75"/>
      <x:c r="F132" s="75"/>
      <x:c r="G132" s="75"/>
      <x:c r="H132" s="75"/>
      <x:c r="I132" s="75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A133" s="75"/>
      <x:c r="B133" s="75"/>
      <x:c r="C133" s="75"/>
      <x:c r="D133" s="75"/>
      <x:c r="E133" s="75"/>
      <x:c r="F133" s="75"/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A134" s="75"/>
      <x:c r="B134" s="75"/>
      <x:c r="C134" s="75"/>
      <x:c r="D134" s="75"/>
      <x:c r="E134" s="75"/>
      <x:c r="F134" s="75"/>
      <x:c r="G134" s="75"/>
      <x:c r="H134" s="75"/>
      <x:c r="I134" s="75"/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A135" s="75"/>
      <x:c r="B135" s="75"/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A136" s="75"/>
      <x:c r="B136" s="75"/>
      <x:c r="C136" s="75"/>
      <x:c r="D136" s="75"/>
      <x:c r="E136" s="75"/>
      <x:c r="F136" s="75"/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A137" s="75"/>
      <x:c r="B137" s="75"/>
      <x:c r="C137" s="75"/>
      <x:c r="D137" s="75"/>
      <x:c r="E137" s="75"/>
      <x:c r="F137" s="75"/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A138" s="75"/>
      <x:c r="B138" s="75"/>
      <x:c r="C138" s="75"/>
      <x:c r="D138" s="75"/>
      <x:c r="E138" s="75"/>
      <x:c r="F138" s="75"/>
      <x:c r="G138" s="75"/>
      <x:c r="H138" s="75"/>
      <x:c r="I138" s="75"/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A139" s="75"/>
      <x:c r="B139" s="75"/>
      <x:c r="C139" s="75"/>
      <x:c r="D139" s="75"/>
      <x:c r="E139" s="75"/>
      <x:c r="F139" s="75"/>
      <x:c r="G139" s="75"/>
      <x:c r="H139" s="75"/>
      <x:c r="I139" s="75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A140" s="75"/>
      <x:c r="B140" s="75"/>
      <x:c r="C140" s="75"/>
      <x:c r="D140" s="75"/>
      <x:c r="E140" s="75"/>
      <x:c r="F140" s="75"/>
      <x:c r="G140" s="75"/>
      <x:c r="H140" s="75"/>
      <x:c r="I140" s="75"/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A141" s="75"/>
      <x:c r="B141" s="75"/>
      <x:c r="C141" s="75"/>
      <x:c r="D141" s="75"/>
      <x:c r="E141" s="75"/>
      <x:c r="F141" s="75"/>
      <x:c r="G141" s="75"/>
      <x:c r="H141" s="75"/>
      <x:c r="I141" s="75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A142" s="75"/>
      <x:c r="B142" s="75"/>
      <x:c r="C142" s="75"/>
      <x:c r="D142" s="75"/>
      <x:c r="E142" s="75"/>
      <x:c r="F142" s="75"/>
      <x:c r="G142" s="75"/>
      <x:c r="H142" s="75"/>
      <x:c r="I142" s="75"/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A143" s="75"/>
      <x:c r="B143" s="75"/>
      <x:c r="C143" s="75"/>
      <x:c r="D143" s="75"/>
      <x:c r="E143" s="75"/>
      <x:c r="F143" s="75"/>
      <x:c r="G143" s="75"/>
      <x:c r="H143" s="75"/>
      <x:c r="I143" s="75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A144" s="75"/>
      <x:c r="B144" s="75"/>
      <x:c r="C144" s="75"/>
      <x:c r="D144" s="75"/>
      <x:c r="E144" s="75"/>
      <x:c r="F144" s="75"/>
      <x:c r="G144" s="75"/>
      <x:c r="H144" s="75"/>
      <x:c r="I144" s="75"/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A145" s="75"/>
      <x:c r="B145" s="75"/>
      <x:c r="C145" s="75"/>
      <x:c r="D145" s="75"/>
      <x:c r="E145" s="75"/>
      <x:c r="F145" s="75"/>
      <x:c r="G145" s="75"/>
      <x:c r="H145" s="75"/>
      <x:c r="I145" s="75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A146" s="75"/>
      <x:c r="B146" s="75"/>
      <x:c r="C146" s="75"/>
      <x:c r="D146" s="75"/>
      <x:c r="E146" s="75"/>
      <x:c r="F146" s="75"/>
      <x:c r="G146" s="75"/>
      <x:c r="H146" s="75"/>
      <x:c r="I146" s="75"/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A147" s="75"/>
      <x:c r="B147" s="75"/>
      <x:c r="C147" s="75"/>
      <x:c r="D147" s="75"/>
      <x:c r="E147" s="75"/>
      <x:c r="F147" s="75"/>
      <x:c r="G147" s="75"/>
      <x:c r="H147" s="75"/>
      <x:c r="I147" s="75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A148" s="75"/>
      <x:c r="B148" s="75"/>
      <x:c r="C148" s="75"/>
      <x:c r="D148" s="75"/>
      <x:c r="E148" s="75"/>
      <x:c r="F148" s="75"/>
      <x:c r="G148" s="75"/>
      <x:c r="H148" s="75"/>
      <x:c r="I148" s="75"/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A149" s="75"/>
      <x:c r="B149" s="75"/>
      <x:c r="C149" s="75"/>
      <x:c r="D149" s="75"/>
      <x:c r="E149" s="75"/>
      <x:c r="F149" s="75"/>
      <x:c r="G149" s="75"/>
      <x:c r="H149" s="75"/>
      <x:c r="I149" s="75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A150" s="75"/>
      <x:c r="B150" s="75"/>
      <x:c r="C150" s="75"/>
      <x:c r="D150" s="75"/>
      <x:c r="E150" s="75"/>
      <x:c r="F150" s="75"/>
      <x:c r="G150" s="75"/>
      <x:c r="H150" s="75"/>
      <x:c r="I150" s="75"/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A151" s="75"/>
      <x:c r="B151" s="75"/>
      <x:c r="C151" s="75"/>
      <x:c r="D151" s="75"/>
      <x:c r="E151" s="75"/>
      <x:c r="F151" s="75"/>
      <x:c r="G151" s="75"/>
      <x:c r="H151" s="75"/>
      <x:c r="I151" s="75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A152" s="75"/>
      <x:c r="B152" s="75"/>
      <x:c r="C152" s="75"/>
      <x:c r="D152" s="75"/>
      <x:c r="E152" s="75"/>
      <x:c r="F152" s="75"/>
      <x:c r="G152" s="75"/>
      <x:c r="H152" s="75"/>
      <x:c r="I152" s="75"/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A153" s="75"/>
      <x:c r="B153" s="75"/>
      <x:c r="C153" s="75"/>
      <x:c r="D153" s="75"/>
      <x:c r="E153" s="75"/>
      <x:c r="F153" s="75"/>
      <x:c r="G153" s="75"/>
      <x:c r="H153" s="75"/>
      <x:c r="I153" s="75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A154" s="75"/>
      <x:c r="B154" s="75"/>
      <x:c r="C154" s="75"/>
      <x:c r="D154" s="75"/>
      <x:c r="E154" s="75"/>
      <x:c r="F154" s="75"/>
      <x:c r="G154" s="75"/>
      <x:c r="H154" s="75"/>
      <x:c r="I154" s="75"/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A155" s="75"/>
      <x:c r="B155" s="75"/>
      <x:c r="C155" s="75"/>
      <x:c r="D155" s="75"/>
      <x:c r="E155" s="75"/>
      <x:c r="F155" s="75"/>
      <x:c r="G155" s="75"/>
      <x:c r="H155" s="75"/>
      <x:c r="I155" s="75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  <x:row r="156">
      <x:c r="A156" s="75"/>
      <x:c r="B156" s="75"/>
      <x:c r="C156" s="75"/>
      <x:c r="D156" s="75"/>
      <x:c r="E156" s="75"/>
      <x:c r="F156" s="75"/>
      <x:c r="G156" s="75"/>
      <x:c r="H156" s="75"/>
      <x:c r="I156" s="75"/>
      <x:c r="J156" s="75"/>
      <x:c r="K156" s="75"/>
      <x:c r="L156" s="75"/>
      <x:c r="M156" s="75"/>
      <x:c r="N156" s="75"/>
      <x:c r="O156" s="75"/>
      <x:c r="P156" s="75"/>
      <x:c r="Q156" s="75"/>
      <x:c r="R156" s="75"/>
      <x:c r="S156" s="75"/>
      <x:c r="T156" s="75"/>
      <x:c r="U156" s="75"/>
      <x:c r="V156" s="75"/>
      <x:c r="W156" s="75"/>
      <x:c r="X156" s="75"/>
      <x:c r="Y156" s="75"/>
      <x:c r="Z156" s="75"/>
    </x:row>
    <x:row r="157">
      <x:c r="A157" s="75"/>
      <x:c r="B157" s="75"/>
      <x:c r="C157" s="75"/>
      <x:c r="D157" s="75"/>
      <x:c r="E157" s="75"/>
      <x:c r="F157" s="75"/>
      <x:c r="G157" s="75"/>
      <x:c r="H157" s="75"/>
      <x:c r="I157" s="75"/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</x:row>
    <x:row r="158">
      <x:c r="A158" s="75"/>
      <x:c r="B158" s="75"/>
      <x:c r="C158" s="75"/>
      <x:c r="D158" s="75"/>
      <x:c r="E158" s="75"/>
      <x:c r="F158" s="75"/>
      <x:c r="G158" s="75"/>
      <x:c r="H158" s="75"/>
      <x:c r="I158" s="75"/>
      <x:c r="J158" s="75"/>
      <x:c r="K158" s="75"/>
      <x:c r="L158" s="75"/>
      <x:c r="M158" s="75"/>
      <x:c r="N158" s="75"/>
      <x:c r="O158" s="75"/>
      <x:c r="P158" s="75"/>
      <x:c r="Q158" s="75"/>
      <x:c r="R158" s="75"/>
      <x:c r="S158" s="75"/>
      <x:c r="T158" s="75"/>
      <x:c r="U158" s="75"/>
      <x:c r="V158" s="75"/>
      <x:c r="W158" s="75"/>
      <x:c r="X158" s="75"/>
      <x:c r="Y158" s="75"/>
      <x:c r="Z158" s="75"/>
    </x:row>
    <x:row r="159">
      <x:c r="A159" s="75"/>
      <x:c r="B159" s="75"/>
      <x:c r="C159" s="75"/>
      <x:c r="D159" s="75"/>
      <x:c r="E159" s="75"/>
      <x:c r="F159" s="75"/>
      <x:c r="G159" s="75"/>
      <x:c r="H159" s="75"/>
      <x:c r="I159" s="75"/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</x:row>
    <x:row r="160">
      <x:c r="A160" s="75"/>
      <x:c r="B160" s="75"/>
      <x:c r="C160" s="75"/>
      <x:c r="D160" s="75"/>
      <x:c r="E160" s="75"/>
      <x:c r="F160" s="75"/>
      <x:c r="G160" s="75"/>
      <x:c r="H160" s="75"/>
      <x:c r="I160" s="75"/>
      <x:c r="J160" s="75"/>
      <x:c r="K160" s="75"/>
      <x:c r="L160" s="75"/>
      <x:c r="M160" s="75"/>
      <x:c r="N160" s="75"/>
      <x:c r="O160" s="75"/>
      <x:c r="P160" s="75"/>
      <x:c r="Q160" s="75"/>
      <x:c r="R160" s="75"/>
      <x:c r="S160" s="75"/>
      <x:c r="T160" s="75"/>
      <x:c r="U160" s="75"/>
      <x:c r="V160" s="75"/>
      <x:c r="W160" s="75"/>
      <x:c r="X160" s="75"/>
      <x:c r="Y160" s="75"/>
      <x:c r="Z160" s="75"/>
    </x:row>
    <x:row r="161">
      <x:c r="A161" s="75"/>
      <x:c r="B161" s="75"/>
      <x:c r="C161" s="75"/>
      <x:c r="D161" s="75"/>
      <x:c r="E161" s="75"/>
      <x:c r="F161" s="75"/>
      <x:c r="G161" s="75"/>
      <x:c r="H161" s="75"/>
      <x:c r="I161" s="75"/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</x:row>
    <x:row r="162">
      <x:c r="A162" s="75"/>
      <x:c r="B162" s="75"/>
      <x:c r="C162" s="75"/>
      <x:c r="D162" s="75"/>
      <x:c r="E162" s="75"/>
      <x:c r="F162" s="75"/>
      <x:c r="G162" s="75"/>
      <x:c r="H162" s="75"/>
      <x:c r="I162" s="75"/>
      <x:c r="J162" s="75"/>
      <x:c r="K162" s="75"/>
      <x:c r="L162" s="75"/>
      <x:c r="M162" s="75"/>
      <x:c r="N162" s="75"/>
      <x:c r="O162" s="75"/>
      <x:c r="P162" s="75"/>
      <x:c r="Q162" s="75"/>
      <x:c r="R162" s="75"/>
      <x:c r="S162" s="75"/>
      <x:c r="T162" s="75"/>
      <x:c r="U162" s="75"/>
      <x:c r="V162" s="75"/>
      <x:c r="W162" s="75"/>
      <x:c r="X162" s="75"/>
      <x:c r="Y162" s="75"/>
      <x:c r="Z162" s="75"/>
    </x:row>
    <x:row r="163">
      <x:c r="A163" s="75"/>
      <x:c r="B163" s="75"/>
      <x:c r="C163" s="75"/>
      <x:c r="D163" s="75"/>
      <x:c r="E163" s="75"/>
      <x:c r="F163" s="75"/>
      <x:c r="G163" s="75"/>
      <x:c r="H163" s="75"/>
      <x:c r="I163" s="75"/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</x:row>
    <x:row r="164">
      <x:c r="A164" s="75"/>
      <x:c r="B164" s="75"/>
      <x:c r="C164" s="75"/>
      <x:c r="D164" s="75"/>
      <x:c r="E164" s="75"/>
      <x:c r="F164" s="75"/>
      <x:c r="G164" s="75"/>
      <x:c r="H164" s="75"/>
      <x:c r="I164" s="75"/>
      <x:c r="J164" s="75"/>
      <x:c r="K164" s="75"/>
      <x:c r="L164" s="75"/>
      <x:c r="M164" s="75"/>
      <x:c r="N164" s="75"/>
      <x:c r="O164" s="75"/>
      <x:c r="P164" s="75"/>
      <x:c r="Q164" s="75"/>
      <x:c r="R164" s="75"/>
      <x:c r="S164" s="75"/>
      <x:c r="T164" s="75"/>
      <x:c r="U164" s="75"/>
      <x:c r="V164" s="75"/>
      <x:c r="W164" s="75"/>
      <x:c r="X164" s="75"/>
      <x:c r="Y164" s="75"/>
      <x:c r="Z164" s="75"/>
    </x:row>
    <x:row r="165">
      <x:c r="A165" s="75"/>
      <x:c r="B165" s="75"/>
      <x:c r="C165" s="75"/>
      <x:c r="D165" s="75"/>
      <x:c r="E165" s="75"/>
      <x:c r="F165" s="75"/>
      <x:c r="G165" s="75"/>
      <x:c r="H165" s="75"/>
      <x:c r="I165" s="75"/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</x:row>
    <x:row r="166">
      <x:c r="A166" s="75"/>
      <x:c r="B166" s="75"/>
      <x:c r="C166" s="75"/>
      <x:c r="D166" s="75"/>
      <x:c r="E166" s="75"/>
      <x:c r="F166" s="75"/>
      <x:c r="G166" s="75"/>
      <x:c r="H166" s="75"/>
      <x:c r="I166" s="75"/>
      <x:c r="J166" s="75"/>
      <x:c r="K166" s="75"/>
      <x:c r="L166" s="75"/>
      <x:c r="M166" s="75"/>
      <x:c r="N166" s="75"/>
      <x:c r="O166" s="75"/>
      <x:c r="P166" s="75"/>
      <x:c r="Q166" s="75"/>
      <x:c r="R166" s="75"/>
      <x:c r="S166" s="75"/>
      <x:c r="T166" s="75"/>
      <x:c r="U166" s="75"/>
      <x:c r="V166" s="75"/>
      <x:c r="W166" s="75"/>
      <x:c r="X166" s="75"/>
      <x:c r="Y166" s="75"/>
      <x:c r="Z166" s="75"/>
    </x:row>
    <x:row r="167">
      <x:c r="A167" s="75"/>
      <x:c r="B167" s="75"/>
      <x:c r="C167" s="75"/>
      <x:c r="D167" s="75"/>
      <x:c r="E167" s="75"/>
      <x:c r="F167" s="75"/>
      <x:c r="G167" s="75"/>
      <x:c r="H167" s="75"/>
      <x:c r="I167" s="75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</x:row>
    <x:row r="168">
      <x:c r="A168" s="75"/>
      <x:c r="B168" s="75"/>
      <x:c r="C168" s="75"/>
      <x:c r="D168" s="75"/>
      <x:c r="E168" s="75"/>
      <x:c r="F168" s="75"/>
      <x:c r="G168" s="75"/>
      <x:c r="H168" s="75"/>
      <x:c r="I168" s="75"/>
      <x:c r="J168" s="75"/>
      <x:c r="K168" s="75"/>
      <x:c r="L168" s="75"/>
      <x:c r="M168" s="75"/>
      <x:c r="N168" s="75"/>
      <x:c r="O168" s="75"/>
      <x:c r="P168" s="75"/>
      <x:c r="Q168" s="75"/>
      <x:c r="R168" s="75"/>
      <x:c r="S168" s="75"/>
      <x:c r="T168" s="75"/>
      <x:c r="U168" s="75"/>
      <x:c r="V168" s="75"/>
      <x:c r="W168" s="75"/>
      <x:c r="X168" s="75"/>
      <x:c r="Y168" s="75"/>
      <x:c r="Z168" s="75"/>
    </x:row>
    <x:row r="169">
      <x:c r="A169" s="75"/>
      <x:c r="B169" s="75"/>
      <x:c r="C169" s="75"/>
      <x:c r="D169" s="75"/>
      <x:c r="E169" s="75"/>
      <x:c r="F169" s="75"/>
      <x:c r="G169" s="75"/>
      <x:c r="H169" s="75"/>
      <x:c r="I169" s="75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</x:row>
    <x:row r="170">
      <x:c r="A170" s="75"/>
      <x:c r="B170" s="75"/>
      <x:c r="C170" s="75"/>
      <x:c r="D170" s="75"/>
      <x:c r="E170" s="75"/>
      <x:c r="F170" s="75"/>
      <x:c r="G170" s="75"/>
      <x:c r="H170" s="75"/>
      <x:c r="I170" s="75"/>
      <x:c r="J170" s="75"/>
      <x:c r="K170" s="75"/>
      <x:c r="L170" s="75"/>
      <x:c r="M170" s="75"/>
      <x:c r="N170" s="75"/>
      <x:c r="O170" s="75"/>
      <x:c r="P170" s="75"/>
      <x:c r="Q170" s="75"/>
      <x:c r="R170" s="75"/>
      <x:c r="S170" s="75"/>
      <x:c r="T170" s="75"/>
      <x:c r="U170" s="75"/>
      <x:c r="V170" s="75"/>
      <x:c r="W170" s="75"/>
      <x:c r="X170" s="75"/>
      <x:c r="Y170" s="75"/>
      <x:c r="Z170" s="75"/>
    </x:row>
    <x:row r="171">
      <x:c r="A171" s="75"/>
      <x:c r="B171" s="75"/>
      <x:c r="C171" s="75"/>
      <x:c r="D171" s="75"/>
      <x:c r="E171" s="75"/>
      <x:c r="F171" s="75"/>
      <x:c r="G171" s="75"/>
      <x:c r="H171" s="75"/>
      <x:c r="I171" s="75"/>
      <x:c r="J171" s="75"/>
      <x:c r="K171" s="75"/>
      <x:c r="L171" s="75"/>
      <x:c r="M171" s="75"/>
      <x:c r="N171" s="75"/>
      <x:c r="O171" s="75"/>
      <x:c r="P171" s="75"/>
      <x:c r="Q171" s="75"/>
      <x:c r="R171" s="75"/>
      <x:c r="S171" s="75"/>
      <x:c r="T171" s="75"/>
      <x:c r="U171" s="75"/>
      <x:c r="V171" s="75"/>
      <x:c r="W171" s="75"/>
      <x:c r="X171" s="75"/>
      <x:c r="Y171" s="75"/>
      <x:c r="Z171" s="75"/>
    </x:row>
    <x:row r="172">
      <x:c r="A172" s="75"/>
      <x:c r="B172" s="75"/>
      <x:c r="C172" s="75"/>
      <x:c r="D172" s="75"/>
      <x:c r="E172" s="75"/>
      <x:c r="F172" s="75"/>
      <x:c r="G172" s="75"/>
      <x:c r="H172" s="75"/>
      <x:c r="I172" s="75"/>
      <x:c r="J172" s="75"/>
      <x:c r="K172" s="75"/>
      <x:c r="L172" s="75"/>
      <x:c r="M172" s="75"/>
      <x:c r="N172" s="75"/>
      <x:c r="O172" s="75"/>
      <x:c r="P172" s="75"/>
      <x:c r="Q172" s="75"/>
      <x:c r="R172" s="75"/>
      <x:c r="S172" s="75"/>
      <x:c r="T172" s="75"/>
      <x:c r="U172" s="75"/>
      <x:c r="V172" s="75"/>
      <x:c r="W172" s="75"/>
      <x:c r="X172" s="75"/>
      <x:c r="Y172" s="75"/>
      <x:c r="Z172" s="75"/>
    </x:row>
    <x:row r="173">
      <x:c r="A173" s="75"/>
      <x:c r="B173" s="75"/>
      <x:c r="C173" s="75"/>
      <x:c r="D173" s="75"/>
      <x:c r="E173" s="75"/>
      <x:c r="F173" s="75"/>
      <x:c r="G173" s="75"/>
      <x:c r="H173" s="75"/>
      <x:c r="I173" s="75"/>
      <x:c r="J173" s="75"/>
      <x:c r="K173" s="75"/>
      <x:c r="L173" s="75"/>
      <x:c r="M173" s="75"/>
      <x:c r="N173" s="75"/>
      <x:c r="O173" s="75"/>
      <x:c r="P173" s="75"/>
      <x:c r="Q173" s="75"/>
      <x:c r="R173" s="75"/>
      <x:c r="S173" s="75"/>
      <x:c r="T173" s="75"/>
      <x:c r="U173" s="75"/>
      <x:c r="V173" s="75"/>
      <x:c r="W173" s="75"/>
      <x:c r="X173" s="75"/>
      <x:c r="Y173" s="75"/>
      <x:c r="Z173" s="75"/>
    </x:row>
    <x:row r="174">
      <x:c r="A174" s="75"/>
      <x:c r="B174" s="75"/>
      <x:c r="C174" s="75"/>
      <x:c r="D174" s="75"/>
      <x:c r="E174" s="75"/>
      <x:c r="F174" s="75"/>
      <x:c r="G174" s="75"/>
      <x:c r="H174" s="75"/>
      <x:c r="I174" s="75"/>
      <x:c r="J174" s="75"/>
      <x:c r="K174" s="75"/>
      <x:c r="L174" s="75"/>
      <x:c r="M174" s="75"/>
      <x:c r="N174" s="75"/>
      <x:c r="O174" s="75"/>
      <x:c r="P174" s="75"/>
      <x:c r="Q174" s="75"/>
      <x:c r="R174" s="75"/>
      <x:c r="S174" s="75"/>
      <x:c r="T174" s="75"/>
      <x:c r="U174" s="75"/>
      <x:c r="V174" s="75"/>
      <x:c r="W174" s="75"/>
      <x:c r="X174" s="75"/>
      <x:c r="Y174" s="75"/>
      <x:c r="Z174" s="75"/>
    </x:row>
    <x:row r="175">
      <x:c r="A175" s="75"/>
      <x:c r="B175" s="75"/>
      <x:c r="C175" s="75"/>
      <x:c r="D175" s="75"/>
      <x:c r="E175" s="75"/>
      <x:c r="F175" s="75"/>
      <x:c r="G175" s="75"/>
      <x:c r="H175" s="75"/>
      <x:c r="I175" s="75"/>
      <x:c r="J175" s="75"/>
      <x:c r="K175" s="75"/>
      <x:c r="L175" s="75"/>
      <x:c r="M175" s="75"/>
      <x:c r="N175" s="75"/>
      <x:c r="O175" s="75"/>
      <x:c r="P175" s="75"/>
      <x:c r="Q175" s="75"/>
      <x:c r="R175" s="75"/>
      <x:c r="S175" s="75"/>
      <x:c r="T175" s="75"/>
      <x:c r="U175" s="75"/>
      <x:c r="V175" s="75"/>
      <x:c r="W175" s="75"/>
      <x:c r="X175" s="75"/>
      <x:c r="Y175" s="75"/>
      <x:c r="Z175" s="75"/>
    </x:row>
    <x:row r="176">
      <x:c r="A176" s="75"/>
      <x:c r="B176" s="75"/>
      <x:c r="C176" s="75"/>
      <x:c r="D176" s="75"/>
      <x:c r="E176" s="75"/>
      <x:c r="F176" s="75"/>
      <x:c r="G176" s="75"/>
      <x:c r="H176" s="75"/>
      <x:c r="I176" s="75"/>
      <x:c r="J176" s="75"/>
      <x:c r="K176" s="75"/>
      <x:c r="L176" s="75"/>
      <x:c r="M176" s="75"/>
      <x:c r="N176" s="75"/>
      <x:c r="O176" s="75"/>
      <x:c r="P176" s="75"/>
      <x:c r="Q176" s="75"/>
      <x:c r="R176" s="75"/>
      <x:c r="S176" s="75"/>
      <x:c r="T176" s="75"/>
      <x:c r="U176" s="75"/>
      <x:c r="V176" s="75"/>
      <x:c r="W176" s="75"/>
      <x:c r="X176" s="75"/>
      <x:c r="Y176" s="75"/>
      <x:c r="Z176" s="75"/>
    </x:row>
    <x:row r="177">
      <x:c r="A177" s="75"/>
      <x:c r="B177" s="75"/>
      <x:c r="C177" s="75"/>
      <x:c r="D177" s="75"/>
      <x:c r="E177" s="75"/>
      <x:c r="F177" s="75"/>
      <x:c r="G177" s="75"/>
      <x:c r="H177" s="75"/>
      <x:c r="I177" s="75"/>
      <x:c r="J177" s="75"/>
      <x:c r="K177" s="75"/>
      <x:c r="L177" s="75"/>
      <x:c r="M177" s="75"/>
      <x:c r="N177" s="75"/>
      <x:c r="O177" s="75"/>
      <x:c r="P177" s="75"/>
      <x:c r="Q177" s="75"/>
      <x:c r="R177" s="75"/>
      <x:c r="S177" s="75"/>
      <x:c r="T177" s="75"/>
      <x:c r="U177" s="75"/>
      <x:c r="V177" s="75"/>
      <x:c r="W177" s="75"/>
      <x:c r="X177" s="75"/>
      <x:c r="Y177" s="75"/>
      <x:c r="Z177" s="75"/>
    </x:row>
    <x:row r="178">
      <x:c r="A178" s="75"/>
      <x:c r="B178" s="75"/>
      <x:c r="C178" s="75"/>
      <x:c r="D178" s="75"/>
      <x:c r="E178" s="75"/>
      <x:c r="F178" s="75"/>
      <x:c r="G178" s="75"/>
      <x:c r="H178" s="75"/>
      <x:c r="I178" s="75"/>
      <x:c r="J178" s="75"/>
      <x:c r="K178" s="75"/>
      <x:c r="L178" s="75"/>
      <x:c r="M178" s="75"/>
      <x:c r="N178" s="75"/>
      <x:c r="O178" s="75"/>
      <x:c r="P178" s="75"/>
      <x:c r="Q178" s="75"/>
      <x:c r="R178" s="75"/>
      <x:c r="S178" s="75"/>
      <x:c r="T178" s="75"/>
      <x:c r="U178" s="75"/>
      <x:c r="V178" s="75"/>
      <x:c r="W178" s="75"/>
      <x:c r="X178" s="75"/>
      <x:c r="Y178" s="75"/>
      <x:c r="Z178" s="75"/>
    </x:row>
    <x:row r="179">
      <x:c r="A179" s="75"/>
      <x:c r="B179" s="75"/>
      <x:c r="C179" s="75"/>
      <x:c r="D179" s="75"/>
      <x:c r="E179" s="75"/>
      <x:c r="F179" s="75"/>
      <x:c r="G179" s="75"/>
      <x:c r="H179" s="75"/>
      <x:c r="I179" s="75"/>
      <x:c r="J179" s="75"/>
      <x:c r="K179" s="75"/>
      <x:c r="L179" s="75"/>
      <x:c r="M179" s="75"/>
      <x:c r="N179" s="75"/>
      <x:c r="O179" s="75"/>
      <x:c r="P179" s="75"/>
      <x:c r="Q179" s="75"/>
      <x:c r="R179" s="75"/>
      <x:c r="S179" s="75"/>
      <x:c r="T179" s="75"/>
      <x:c r="U179" s="75"/>
      <x:c r="V179" s="75"/>
      <x:c r="W179" s="75"/>
      <x:c r="X179" s="75"/>
      <x:c r="Y179" s="75"/>
      <x:c r="Z179" s="75"/>
    </x:row>
    <x:row r="180">
      <x:c r="A180" s="75"/>
      <x:c r="B180" s="75"/>
      <x:c r="C180" s="75"/>
      <x:c r="D180" s="75"/>
      <x:c r="E180" s="75"/>
      <x:c r="F180" s="75"/>
      <x:c r="G180" s="75"/>
      <x:c r="H180" s="75"/>
      <x:c r="I180" s="75"/>
      <x:c r="J180" s="75"/>
      <x:c r="K180" s="75"/>
      <x:c r="L180" s="75"/>
      <x:c r="M180" s="75"/>
      <x:c r="N180" s="75"/>
      <x:c r="O180" s="75"/>
      <x:c r="P180" s="75"/>
      <x:c r="Q180" s="75"/>
      <x:c r="R180" s="75"/>
      <x:c r="S180" s="75"/>
      <x:c r="T180" s="75"/>
      <x:c r="U180" s="75"/>
      <x:c r="V180" s="75"/>
      <x:c r="W180" s="75"/>
      <x:c r="X180" s="75"/>
      <x:c r="Y180" s="75"/>
      <x:c r="Z180" s="75"/>
    </x:row>
    <x:row r="181">
      <x:c r="A181" s="75"/>
      <x:c r="B181" s="75"/>
      <x:c r="C181" s="75"/>
      <x:c r="D181" s="75"/>
      <x:c r="E181" s="75"/>
      <x:c r="F181" s="75"/>
      <x:c r="G181" s="75"/>
      <x:c r="H181" s="75"/>
      <x:c r="I181" s="75"/>
      <x:c r="J181" s="75"/>
      <x:c r="K181" s="75"/>
      <x:c r="L181" s="75"/>
      <x:c r="M181" s="75"/>
      <x:c r="N181" s="75"/>
      <x:c r="O181" s="75"/>
      <x:c r="P181" s="75"/>
      <x:c r="Q181" s="75"/>
      <x:c r="R181" s="75"/>
      <x:c r="S181" s="75"/>
      <x:c r="T181" s="75"/>
      <x:c r="U181" s="75"/>
      <x:c r="V181" s="75"/>
      <x:c r="W181" s="75"/>
      <x:c r="X181" s="75"/>
      <x:c r="Y181" s="75"/>
      <x:c r="Z181" s="75"/>
    </x:row>
    <x:row r="182">
      <x:c r="A182" s="75"/>
      <x:c r="B182" s="75"/>
      <x:c r="C182" s="75"/>
      <x:c r="D182" s="75"/>
      <x:c r="E182" s="75"/>
      <x:c r="F182" s="75"/>
      <x:c r="G182" s="75"/>
      <x:c r="H182" s="75"/>
      <x:c r="I182" s="75"/>
      <x:c r="J182" s="75"/>
      <x:c r="K182" s="75"/>
      <x:c r="L182" s="75"/>
      <x:c r="M182" s="75"/>
      <x:c r="N182" s="75"/>
      <x:c r="O182" s="75"/>
      <x:c r="P182" s="75"/>
      <x:c r="Q182" s="75"/>
      <x:c r="R182" s="75"/>
      <x:c r="S182" s="75"/>
      <x:c r="T182" s="75"/>
      <x:c r="U182" s="75"/>
      <x:c r="V182" s="75"/>
      <x:c r="W182" s="75"/>
      <x:c r="X182" s="75"/>
      <x:c r="Y182" s="75"/>
      <x:c r="Z182" s="75"/>
    </x:row>
    <x:row r="183">
      <x:c r="A183" s="75"/>
      <x:c r="B183" s="75"/>
      <x:c r="C183" s="75"/>
      <x:c r="D183" s="75"/>
      <x:c r="E183" s="75"/>
      <x:c r="F183" s="75"/>
      <x:c r="G183" s="75"/>
      <x:c r="H183" s="75"/>
      <x:c r="I183" s="75"/>
      <x:c r="J183" s="75"/>
      <x:c r="K183" s="75"/>
      <x:c r="L183" s="75"/>
      <x:c r="M183" s="75"/>
      <x:c r="N183" s="75"/>
      <x:c r="O183" s="75"/>
      <x:c r="P183" s="75"/>
      <x:c r="Q183" s="75"/>
      <x:c r="R183" s="75"/>
      <x:c r="S183" s="75"/>
      <x:c r="T183" s="75"/>
      <x:c r="U183" s="75"/>
      <x:c r="V183" s="75"/>
      <x:c r="W183" s="75"/>
      <x:c r="X183" s="75"/>
      <x:c r="Y183" s="75"/>
      <x:c r="Z183" s="75"/>
    </x:row>
    <x:row r="184">
      <x:c r="A184" s="75"/>
      <x:c r="B184" s="75"/>
      <x:c r="C184" s="75"/>
      <x:c r="D184" s="75"/>
      <x:c r="E184" s="75"/>
      <x:c r="F184" s="75"/>
      <x:c r="G184" s="75"/>
      <x:c r="H184" s="75"/>
      <x:c r="I184" s="75"/>
      <x:c r="J184" s="75"/>
      <x:c r="K184" s="75"/>
      <x:c r="L184" s="75"/>
      <x:c r="M184" s="75"/>
      <x:c r="N184" s="75"/>
      <x:c r="O184" s="75"/>
      <x:c r="P184" s="75"/>
      <x:c r="Q184" s="75"/>
      <x:c r="R184" s="75"/>
      <x:c r="S184" s="75"/>
      <x:c r="T184" s="75"/>
      <x:c r="U184" s="75"/>
      <x:c r="V184" s="75"/>
      <x:c r="W184" s="75"/>
      <x:c r="X184" s="75"/>
      <x:c r="Y184" s="75"/>
      <x:c r="Z184" s="75"/>
    </x:row>
    <x:row r="185">
      <x:c r="A185" s="75"/>
      <x:c r="B185" s="75"/>
      <x:c r="C185" s="75"/>
      <x:c r="D185" s="75"/>
      <x:c r="E185" s="75"/>
      <x:c r="F185" s="75"/>
      <x:c r="G185" s="75"/>
      <x:c r="H185" s="75"/>
      <x:c r="I185" s="75"/>
      <x:c r="J185" s="75"/>
      <x:c r="K185" s="75"/>
      <x:c r="L185" s="75"/>
      <x:c r="M185" s="75"/>
      <x:c r="N185" s="75"/>
      <x:c r="O185" s="75"/>
      <x:c r="P185" s="75"/>
      <x:c r="Q185" s="75"/>
      <x:c r="R185" s="75"/>
      <x:c r="S185" s="75"/>
      <x:c r="T185" s="75"/>
      <x:c r="U185" s="75"/>
      <x:c r="V185" s="75"/>
      <x:c r="W185" s="75"/>
      <x:c r="X185" s="75"/>
      <x:c r="Y185" s="75"/>
      <x:c r="Z185" s="75"/>
    </x:row>
    <x:row r="186">
      <x:c r="A186" s="75"/>
      <x:c r="B186" s="75"/>
      <x:c r="C186" s="75"/>
      <x:c r="D186" s="75"/>
      <x:c r="E186" s="75"/>
      <x:c r="F186" s="75"/>
      <x:c r="G186" s="75"/>
      <x:c r="H186" s="75"/>
      <x:c r="I186" s="75"/>
      <x:c r="J186" s="75"/>
      <x:c r="K186" s="75"/>
      <x:c r="L186" s="75"/>
      <x:c r="M186" s="75"/>
      <x:c r="N186" s="75"/>
      <x:c r="O186" s="75"/>
      <x:c r="P186" s="75"/>
      <x:c r="Q186" s="75"/>
      <x:c r="R186" s="75"/>
      <x:c r="S186" s="75"/>
      <x:c r="T186" s="75"/>
      <x:c r="U186" s="75"/>
      <x:c r="V186" s="75"/>
      <x:c r="W186" s="75"/>
      <x:c r="X186" s="75"/>
      <x:c r="Y186" s="75"/>
      <x:c r="Z186" s="75"/>
    </x:row>
    <x:row r="187">
      <x:c r="A187" s="75"/>
      <x:c r="B187" s="75"/>
      <x:c r="C187" s="75"/>
      <x:c r="D187" s="75"/>
      <x:c r="E187" s="75"/>
      <x:c r="F187" s="75"/>
      <x:c r="G187" s="75"/>
      <x:c r="H187" s="75"/>
      <x:c r="I187" s="75"/>
      <x:c r="J187" s="75"/>
      <x:c r="K187" s="75"/>
      <x:c r="L187" s="75"/>
      <x:c r="M187" s="75"/>
      <x:c r="N187" s="75"/>
      <x:c r="O187" s="75"/>
      <x:c r="P187" s="75"/>
      <x:c r="Q187" s="75"/>
      <x:c r="R187" s="75"/>
      <x:c r="S187" s="75"/>
      <x:c r="T187" s="75"/>
      <x:c r="U187" s="75"/>
      <x:c r="V187" s="75"/>
      <x:c r="W187" s="75"/>
      <x:c r="X187" s="75"/>
      <x:c r="Y187" s="75"/>
      <x:c r="Z187" s="75"/>
    </x:row>
    <x:row r="188">
      <x:c r="A188" s="75"/>
      <x:c r="B188" s="75"/>
      <x:c r="C188" s="75"/>
      <x:c r="D188" s="75"/>
      <x:c r="E188" s="75"/>
      <x:c r="F188" s="75"/>
      <x:c r="G188" s="75"/>
      <x:c r="H188" s="75"/>
      <x:c r="I188" s="75"/>
      <x:c r="J188" s="75"/>
      <x:c r="K188" s="75"/>
      <x:c r="L188" s="75"/>
      <x:c r="M188" s="75"/>
      <x:c r="N188" s="75"/>
      <x:c r="O188" s="75"/>
      <x:c r="P188" s="75"/>
      <x:c r="Q188" s="75"/>
      <x:c r="R188" s="75"/>
      <x:c r="S188" s="75"/>
      <x:c r="T188" s="75"/>
      <x:c r="U188" s="75"/>
      <x:c r="V188" s="75"/>
      <x:c r="W188" s="75"/>
      <x:c r="X188" s="75"/>
      <x:c r="Y188" s="75"/>
      <x:c r="Z188" s="75"/>
    </x:row>
    <x:row r="189">
      <x:c r="A189" s="75"/>
      <x:c r="B189" s="75"/>
      <x:c r="C189" s="75"/>
      <x:c r="D189" s="75"/>
      <x:c r="E189" s="75"/>
      <x:c r="F189" s="75"/>
      <x:c r="G189" s="75"/>
      <x:c r="H189" s="75"/>
      <x:c r="I189" s="75"/>
      <x:c r="J189" s="75"/>
      <x:c r="K189" s="75"/>
      <x:c r="L189" s="75"/>
      <x:c r="M189" s="75"/>
      <x:c r="N189" s="75"/>
      <x:c r="O189" s="75"/>
      <x:c r="P189" s="75"/>
      <x:c r="Q189" s="75"/>
      <x:c r="R189" s="75"/>
      <x:c r="S189" s="75"/>
      <x:c r="T189" s="75"/>
      <x:c r="U189" s="75"/>
      <x:c r="V189" s="75"/>
      <x:c r="W189" s="75"/>
      <x:c r="X189" s="75"/>
      <x:c r="Y189" s="75"/>
      <x:c r="Z189" s="75"/>
    </x:row>
    <x:row r="190">
      <x:c r="A190" s="75"/>
      <x:c r="B190" s="75"/>
      <x:c r="C190" s="75"/>
      <x:c r="D190" s="75"/>
      <x:c r="E190" s="75"/>
      <x:c r="F190" s="75"/>
      <x:c r="G190" s="75"/>
      <x:c r="H190" s="75"/>
      <x:c r="I190" s="75"/>
      <x:c r="J190" s="75"/>
      <x:c r="K190" s="75"/>
      <x:c r="L190" s="75"/>
      <x:c r="M190" s="75"/>
      <x:c r="N190" s="75"/>
      <x:c r="O190" s="75"/>
      <x:c r="P190" s="75"/>
      <x:c r="Q190" s="75"/>
      <x:c r="R190" s="75"/>
      <x:c r="S190" s="75"/>
      <x:c r="T190" s="75"/>
      <x:c r="U190" s="75"/>
      <x:c r="V190" s="75"/>
      <x:c r="W190" s="75"/>
      <x:c r="X190" s="75"/>
      <x:c r="Y190" s="75"/>
      <x:c r="Z190" s="75"/>
    </x:row>
    <x:row r="191">
      <x:c r="A191" s="75"/>
      <x:c r="B191" s="75"/>
      <x:c r="C191" s="75"/>
      <x:c r="D191" s="75"/>
      <x:c r="E191" s="75"/>
      <x:c r="F191" s="75"/>
      <x:c r="G191" s="75"/>
      <x:c r="H191" s="75"/>
      <x:c r="I191" s="75"/>
      <x:c r="J191" s="75"/>
      <x:c r="K191" s="75"/>
      <x:c r="L191" s="75"/>
      <x:c r="M191" s="75"/>
      <x:c r="N191" s="75"/>
      <x:c r="O191" s="75"/>
      <x:c r="P191" s="75"/>
      <x:c r="Q191" s="75"/>
      <x:c r="R191" s="75"/>
      <x:c r="S191" s="75"/>
      <x:c r="T191" s="75"/>
      <x:c r="U191" s="75"/>
      <x:c r="V191" s="75"/>
      <x:c r="W191" s="75"/>
      <x:c r="X191" s="75"/>
      <x:c r="Y191" s="75"/>
      <x:c r="Z191" s="75"/>
    </x:row>
    <x:row r="192">
      <x:c r="A192" s="75"/>
      <x:c r="B192" s="75"/>
      <x:c r="C192" s="75"/>
      <x:c r="D192" s="75"/>
      <x:c r="E192" s="75"/>
      <x:c r="F192" s="75"/>
      <x:c r="G192" s="75"/>
      <x:c r="H192" s="75"/>
      <x:c r="I192" s="75"/>
      <x:c r="J192" s="75"/>
      <x:c r="K192" s="75"/>
      <x:c r="L192" s="75"/>
      <x:c r="M192" s="75"/>
      <x:c r="N192" s="75"/>
      <x:c r="O192" s="75"/>
      <x:c r="P192" s="75"/>
      <x:c r="Q192" s="75"/>
      <x:c r="R192" s="75"/>
      <x:c r="S192" s="75"/>
      <x:c r="T192" s="75"/>
      <x:c r="U192" s="75"/>
      <x:c r="V192" s="75"/>
      <x:c r="W192" s="75"/>
      <x:c r="X192" s="75"/>
      <x:c r="Y192" s="75"/>
      <x:c r="Z192" s="75"/>
    </x:row>
    <x:row r="193">
      <x:c r="A193" s="75"/>
      <x:c r="B193" s="75"/>
      <x:c r="C193" s="75"/>
      <x:c r="D193" s="75"/>
      <x:c r="E193" s="75"/>
      <x:c r="F193" s="75"/>
      <x:c r="G193" s="75"/>
      <x:c r="H193" s="75"/>
      <x:c r="I193" s="75"/>
      <x:c r="J193" s="75"/>
      <x:c r="K193" s="75"/>
      <x:c r="L193" s="75"/>
      <x:c r="M193" s="75"/>
      <x:c r="N193" s="75"/>
      <x:c r="O193" s="75"/>
      <x:c r="P193" s="75"/>
      <x:c r="Q193" s="75"/>
      <x:c r="R193" s="75"/>
      <x:c r="S193" s="75"/>
      <x:c r="T193" s="75"/>
      <x:c r="U193" s="75"/>
      <x:c r="V193" s="75"/>
      <x:c r="W193" s="75"/>
      <x:c r="X193" s="75"/>
      <x:c r="Y193" s="75"/>
      <x:c r="Z193" s="75"/>
    </x:row>
    <x:row r="194">
      <x:c r="A194" s="75"/>
      <x:c r="B194" s="75"/>
      <x:c r="C194" s="75"/>
      <x:c r="D194" s="75"/>
      <x:c r="E194" s="75"/>
      <x:c r="F194" s="75"/>
      <x:c r="G194" s="75"/>
      <x:c r="H194" s="75"/>
      <x:c r="I194" s="75"/>
      <x:c r="J194" s="75"/>
      <x:c r="K194" s="75"/>
      <x:c r="L194" s="75"/>
      <x:c r="M194" s="75"/>
      <x:c r="N194" s="75"/>
      <x:c r="O194" s="75"/>
      <x:c r="P194" s="75"/>
      <x:c r="Q194" s="75"/>
      <x:c r="R194" s="75"/>
      <x:c r="S194" s="75"/>
      <x:c r="T194" s="75"/>
      <x:c r="U194" s="75"/>
      <x:c r="V194" s="75"/>
      <x:c r="W194" s="75"/>
      <x:c r="X194" s="75"/>
      <x:c r="Y194" s="75"/>
      <x:c r="Z194" s="75"/>
    </x:row>
    <x:row r="195">
      <x:c r="A195" s="75"/>
      <x:c r="B195" s="75"/>
      <x:c r="C195" s="75"/>
      <x:c r="D195" s="75"/>
      <x:c r="E195" s="75"/>
      <x:c r="F195" s="75"/>
      <x:c r="G195" s="75"/>
      <x:c r="H195" s="75"/>
      <x:c r="I195" s="75"/>
      <x:c r="J195" s="75"/>
      <x:c r="K195" s="75"/>
      <x:c r="L195" s="75"/>
      <x:c r="M195" s="75"/>
      <x:c r="N195" s="75"/>
      <x:c r="O195" s="75"/>
      <x:c r="P195" s="75"/>
      <x:c r="Q195" s="75"/>
      <x:c r="R195" s="75"/>
      <x:c r="S195" s="75"/>
      <x:c r="T195" s="75"/>
      <x:c r="U195" s="75"/>
      <x:c r="V195" s="75"/>
      <x:c r="W195" s="75"/>
      <x:c r="X195" s="75"/>
      <x:c r="Y195" s="75"/>
      <x:c r="Z195" s="75"/>
    </x:row>
    <x:row r="196">
      <x:c r="A196" s="75"/>
      <x:c r="B196" s="75"/>
      <x:c r="C196" s="75"/>
      <x:c r="D196" s="75"/>
      <x:c r="E196" s="75"/>
      <x:c r="F196" s="75"/>
      <x:c r="G196" s="75"/>
      <x:c r="H196" s="75"/>
      <x:c r="I196" s="75"/>
      <x:c r="J196" s="75"/>
      <x:c r="K196" s="75"/>
      <x:c r="L196" s="75"/>
      <x:c r="M196" s="75"/>
      <x:c r="N196" s="75"/>
      <x:c r="O196" s="75"/>
      <x:c r="P196" s="75"/>
      <x:c r="Q196" s="75"/>
      <x:c r="R196" s="75"/>
      <x:c r="S196" s="75"/>
      <x:c r="T196" s="75"/>
      <x:c r="U196" s="75"/>
      <x:c r="V196" s="75"/>
      <x:c r="W196" s="75"/>
      <x:c r="X196" s="75"/>
      <x:c r="Y196" s="75"/>
      <x:c r="Z196" s="75"/>
    </x:row>
    <x:row r="197">
      <x:c r="A197" s="75"/>
      <x:c r="B197" s="75"/>
      <x:c r="C197" s="75"/>
      <x:c r="D197" s="75"/>
      <x:c r="E197" s="75"/>
      <x:c r="F197" s="75"/>
      <x:c r="G197" s="75"/>
      <x:c r="H197" s="75"/>
      <x:c r="I197" s="75"/>
      <x:c r="J197" s="75"/>
      <x:c r="K197" s="75"/>
      <x:c r="L197" s="75"/>
      <x:c r="M197" s="75"/>
      <x:c r="N197" s="75"/>
      <x:c r="O197" s="75"/>
      <x:c r="P197" s="75"/>
      <x:c r="Q197" s="75"/>
      <x:c r="R197" s="75"/>
      <x:c r="S197" s="75"/>
      <x:c r="T197" s="75"/>
      <x:c r="U197" s="75"/>
      <x:c r="V197" s="75"/>
      <x:c r="W197" s="75"/>
      <x:c r="X197" s="75"/>
      <x:c r="Y197" s="75"/>
      <x:c r="Z197" s="75"/>
    </x:row>
    <x:row r="198">
      <x:c r="A198" s="75"/>
      <x:c r="B198" s="75"/>
      <x:c r="C198" s="75"/>
      <x:c r="D198" s="75"/>
      <x:c r="E198" s="75"/>
      <x:c r="F198" s="75"/>
      <x:c r="G198" s="75"/>
      <x:c r="H198" s="75"/>
      <x:c r="I198" s="75"/>
      <x:c r="J198" s="75"/>
      <x:c r="K198" s="75"/>
      <x:c r="L198" s="75"/>
      <x:c r="M198" s="75"/>
      <x:c r="N198" s="75"/>
      <x:c r="O198" s="75"/>
      <x:c r="P198" s="75"/>
      <x:c r="Q198" s="75"/>
      <x:c r="R198" s="75"/>
      <x:c r="S198" s="75"/>
      <x:c r="T198" s="75"/>
      <x:c r="U198" s="75"/>
      <x:c r="V198" s="75"/>
      <x:c r="W198" s="75"/>
      <x:c r="X198" s="75"/>
      <x:c r="Y198" s="75"/>
      <x:c r="Z198" s="75"/>
    </x:row>
    <x:row r="199">
      <x:c r="A199" s="75"/>
      <x:c r="B199" s="75"/>
      <x:c r="C199" s="75"/>
      <x:c r="D199" s="75"/>
      <x:c r="E199" s="75"/>
      <x:c r="F199" s="75"/>
      <x:c r="G199" s="75"/>
      <x:c r="H199" s="75"/>
      <x:c r="I199" s="75"/>
      <x:c r="J199" s="75"/>
      <x:c r="K199" s="75"/>
      <x:c r="L199" s="75"/>
      <x:c r="M199" s="75"/>
      <x:c r="N199" s="75"/>
      <x:c r="O199" s="75"/>
      <x:c r="P199" s="75"/>
      <x:c r="Q199" s="75"/>
      <x:c r="R199" s="75"/>
      <x:c r="S199" s="75"/>
      <x:c r="T199" s="75"/>
      <x:c r="U199" s="75"/>
      <x:c r="V199" s="75"/>
      <x:c r="W199" s="75"/>
      <x:c r="X199" s="75"/>
      <x:c r="Y199" s="75"/>
      <x:c r="Z199" s="75"/>
    </x:row>
    <x:row r="200">
      <x:c r="A200" s="75"/>
      <x:c r="B200" s="75"/>
      <x:c r="C200" s="75"/>
      <x:c r="D200" s="75"/>
      <x:c r="E200" s="75"/>
      <x:c r="F200" s="75"/>
      <x:c r="G200" s="75"/>
      <x:c r="H200" s="75"/>
      <x:c r="I200" s="75"/>
      <x:c r="J200" s="75"/>
      <x:c r="K200" s="75"/>
      <x:c r="L200" s="75"/>
      <x:c r="M200" s="75"/>
      <x:c r="N200" s="75"/>
      <x:c r="O200" s="75"/>
      <x:c r="P200" s="75"/>
      <x:c r="Q200" s="75"/>
      <x:c r="R200" s="75"/>
      <x:c r="S200" s="75"/>
      <x:c r="T200" s="75"/>
      <x:c r="U200" s="75"/>
      <x:c r="V200" s="75"/>
      <x:c r="W200" s="75"/>
      <x:c r="X200" s="75"/>
      <x:c r="Y200" s="75"/>
      <x:c r="Z200" s="75"/>
    </x:row>
  </x:sheetData>
  <x:mergeCells>
    <x:mergeCell ref="A1:J2"/>
    <x:mergeCell ref="A3:J4"/>
  </x:mergeCells>
  <x:pageMargins left="0.7" right="0.7" top="0.75" bottom="0.75" header="0.3" footer="0.3"/>
  <x:tableParts count="1">
    <x:tablePart xmlns:r="http://schemas.openxmlformats.org/officeDocument/2006/relationships" r:id="Ra6363f308d4c4d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4" hidden="0" customWidth="1"/>
    <x:col min="4" max="4" width="44" hidden="0" customWidth="1"/>
    <x:col min="5" max="5" width="28" hidden="0" customWidth="1"/>
    <x:col min="6" max="6" width="18" hidden="0" customWidth="1"/>
    <x:col min="7" max="7" width="36" hidden="0" customWidth="1"/>
    <x:col min="8" max="8" width="24" hidden="0" customWidth="1"/>
    <x:col min="9" max="9" width="34" hidden="0" customWidth="1"/>
  </x:cols>
  <x:sheetData>
    <x:row r="1">
      <x:c r="A1" s="94" t="str">
        <x:v>Validation &amp; Evidence Register — items that preference alone cannot approve</x:v>
      </x:c>
      <x:c r="B1" s="94"/>
      <x:c r="C1" s="94"/>
      <x:c r="D1" s="94"/>
      <x:c r="E1" s="94"/>
      <x:c r="F1" s="94"/>
      <x:c r="G1" s="94"/>
      <x:c r="H1" s="94"/>
      <x:c r="I1" s="94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94"/>
      <x:c r="B2" s="94"/>
      <x:c r="C2" s="94"/>
      <x:c r="D2" s="94"/>
      <x:c r="E2" s="94"/>
      <x:c r="F2" s="94"/>
      <x:c r="G2" s="94"/>
      <x:c r="H2" s="94"/>
      <x:c r="I2" s="94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  <x:c r="S3" s="75"/>
      <x:c r="T3" s="75"/>
      <x:c r="U3" s="75"/>
      <x:c r="V3" s="75"/>
      <x:c r="W3" s="75"/>
      <x:c r="X3" s="75"/>
      <x:c r="Y3" s="75"/>
      <x:c r="Z3" s="75"/>
    </x:row>
    <x:row r="4">
      <x:c r="A4" s="96" t="str">
        <x:v>Evidence ID</x:v>
      </x:c>
      <x:c r="B4" s="96" t="str">
        <x:v>Related Decision IDs</x:v>
      </x:c>
      <x:c r="C4" s="96" t="str">
        <x:v>Evidence / Test Required</x:v>
      </x:c>
      <x:c r="D4" s="96" t="str">
        <x:v>Acceptance Criteria</x:v>
      </x:c>
      <x:c r="E4" s="96" t="str">
        <x:v>Recommended Owner</x:v>
      </x:c>
      <x:c r="F4" s="96" t="str">
        <x:v>Status</x:v>
      </x:c>
      <x:c r="G4" s="96" t="str">
        <x:v>Evidence Reference / Link</x:v>
      </x:c>
      <x:c r="H4" s="96" t="str">
        <x:v>Approval / Reviewer</x:v>
      </x:c>
      <x:c r="I4" s="96" t="str">
        <x:v>Notes</x:v>
      </x:c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58" customHeight="1">
      <x:c r="A5" s="97" t="str">
        <x:v>VAL-01</x:v>
      </x:c>
      <x:c r="B5" s="97" t="str">
        <x:v>C01:C12, E01:E20</x:v>
      </x:c>
      <x:c r="C5" s="97" t="str">
        <x:v>Signed architecture and commercial-scope decision</x:v>
      </x:c>
      <x:c r="D5" s="97" t="str">
        <x:v>Master brand, active business streams, buyer, offer boundaries and claims are explicitly approved.</x:v>
      </x:c>
      <x:c r="E5" s="97" t="str">
        <x:v>Brand Owner + Commercial Lead</x:v>
      </x:c>
      <x:c r="F5" s="97" t="str">
        <x:v>In progress</x:v>
      </x:c>
      <x:c r="G5" s="97" t="str"/>
      <x:c r="H5" s="97" t="str"/>
      <x:c r="I5" s="97" t="str">
        <x:v>Target architecture and offer boundaries are now pre-decided in this workbook; operational capability evidence and named commercial approval remain outstanding.</x:v>
      </x:c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58" customHeight="1">
      <x:c r="A6" s="97" t="str">
        <x:v>VAL-02</x:v>
      </x:c>
      <x:c r="B6" s="97" t="str">
        <x:v>H16:H21</x:v>
      </x:c>
      <x:c r="C6" s="97" t="str">
        <x:v>Production logo master verification</x:v>
      </x:c>
      <x:c r="D6" s="97" t="str">
        <x:v>Approved vector source matches the intended mark; released SVG/PDF/EPS/PNG masters have IDs/version/owner.</x:v>
      </x:c>
      <x:c r="E6" s="97" t="str">
        <x:v>Design Custodian</x:v>
      </x:c>
      <x:c r="F6" s="97" t="str">
        <x:v>Not started</x:v>
      </x:c>
      <x:c r="G6" s="97" t="str"/>
      <x:c r="H6" s="97" t="str"/>
      <x:c r="I6" s="97" t="str">
        <x:v>Current reviewed assets remain raster/incomplete for production. Vector masters and the no-spark micro mark are release blockers.</x:v>
      </x:c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58" customHeight="1">
      <x:c r="A7" s="97" t="str">
        <x:v>VAL-03</x:v>
      </x:c>
      <x:c r="B7" s="97" t="str">
        <x:v>Y01, RF10</x:v>
      </x:c>
      <x:c r="C7" s="97" t="str">
        <x:v>Trademark / distinctiveness legal review</x:v>
      </x:c>
      <x:c r="D7" s="97" t="str">
        <x:v>Target-market clearance or documented legal advice; benchmarking is separate from legal clearance.</x:v>
      </x:c>
      <x:c r="E7" s="97" t="str">
        <x:v>Legal / IP Counsel</x:v>
      </x:c>
      <x:c r="F7" s="97" t="str">
        <x:v>Not started</x:v>
      </x:c>
      <x:c r="G7" s="97" t="str"/>
      <x:c r="H7" s="97" t="str"/>
      <x:c r="I7" s="97" t="str">
        <x:v>No legal trademark clearance evidence supplied.</x:v>
      </x:c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58" customHeight="1">
      <x:c r="A8" s="97" t="str">
        <x:v>VAL-04</x:v>
      </x:c>
      <x:c r="B8" s="97" t="str">
        <x:v>Y02</x:v>
      </x:c>
      <x:c r="C8" s="97" t="str">
        <x:v>Logo artwork ownership / rights evidence</x:v>
      </x:c>
      <x:c r="D8" s="97" t="str">
        <x:v>Ownership or assignment/license evidence is retained with the brand archive.</x:v>
      </x:c>
      <x:c r="E8" s="97" t="str">
        <x:v>Brand Owner / Legal</x:v>
      </x:c>
      <x:c r="F8" s="97" t="str">
        <x:v>Not started</x:v>
      </x:c>
      <x:c r="G8" s="97" t="str"/>
      <x:c r="H8" s="97" t="str"/>
      <x:c r="I8" s="97" t="str">
        <x:v>No executed logo-artwork ownership/assignment evidence supplied.</x:v>
      </x:c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58" customHeight="1">
      <x:c r="A9" s="97" t="str">
        <x:v>VAL-05</x:v>
      </x:c>
      <x:c r="B9" s="97" t="str">
        <x:v>Y03, L01:L07, M02:M03</x:v>
      </x:c>
      <x:c r="C9" s="97" t="str">
        <x:v>Font license and deployment verification</x:v>
      </x:c>
      <x:c r="D9" s="97" t="str">
        <x:v>Licenses support intended print, web, app, office and distribution uses; exact builds tested where needed.</x:v>
      </x:c>
      <x:c r="E9" s="97" t="str">
        <x:v>Design Custodian / Legal</x:v>
      </x:c>
      <x:c r="F9" s="97" t="str">
        <x:v>In progress</x:v>
      </x:c>
      <x:c r="G9" s="97" t="str"/>
      <x:c r="H9" s="97" t="str"/>
      <x:c r="I9" s="97" t="str">
        <x:v>Jost, Inter and Noto Sans Arabic are present/referenced with OFL material in prior source packages; exact final builds, deployment and distribution rights still require verification.</x:v>
      </x:c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58" customHeight="1">
      <x:c r="A10" s="97" t="str">
        <x:v>VAL-06</x:v>
      </x:c>
      <x:c r="B10" s="97" t="str">
        <x:v>O18, Y04</x:v>
      </x:c>
      <x:c r="C10" s="97" t="str">
        <x:v>Image/model/property rights register</x:v>
      </x:c>
      <x:c r="D10" s="97" t="str">
        <x:v>Every approved production image has rights/source/usage metadata.</x:v>
      </x:c>
      <x:c r="E10" s="97" t="str">
        <x:v>Art Direction / Legal</x:v>
      </x:c>
      <x:c r="F10" s="97" t="str">
        <x:v>Not started</x:v>
      </x:c>
      <x:c r="G10" s="97" t="str"/>
      <x:c r="H10" s="97" t="str"/>
      <x:c r="I10" s="97" t="str">
        <x:v>Photography direction is approved, but no complete production rights register or final image library was supplied.</x:v>
      </x:c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58" customHeight="1">
      <x:c r="A11" s="97" t="str">
        <x:v>VAL-07</x:v>
      </x:c>
      <x:c r="B11" s="97" t="str">
        <x:v>M01:M16</x:v>
      </x:c>
      <x:c r="C11" s="97" t="str">
        <x:v>Arabic / RTL native QA</x:v>
      </x:c>
      <x:c r="D11" s="97" t="str">
        <x:v>Continuous RTL layouts, shaping, numerals, mixed-language content and screen-reader order pass native review.</x:v>
      </x:c>
      <x:c r="E11" s="97" t="str">
        <x:v>Arabic / Localization Lead</x:v>
      </x:c>
      <x:c r="F11" s="97" t="str">
        <x:v>Not started</x:v>
      </x:c>
      <x:c r="G11" s="97" t="str"/>
      <x:c r="H11" s="97" t="str"/>
      <x:c r="I11" s="97" t="str">
        <x:v>Arabic is required in scope but remains explicitly unvalidated for continuous production RTL use.</x:v>
      </x:c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58" customHeight="1">
      <x:c r="A12" s="97" t="str">
        <x:v>VAL-08</x:v>
      </x:c>
      <x:c r="B12" s="97" t="str">
        <x:v>K01:K09, V01:V15, Q08:Q18</x:v>
      </x:c>
      <x:c r="C12" s="97" t="str">
        <x:v>Accessibility implementation QA</x:v>
      </x:c>
      <x:c r="D12" s="97" t="str">
        <x:v>WCAG 2.2 AA target tested in real digital/document outputs; issues resolved or formally excepted.</x:v>
      </x:c>
      <x:c r="E12" s="97" t="str">
        <x:v>Accessibility QA</x:v>
      </x:c>
      <x:c r="F12" s="97" t="str">
        <x:v>In progress</x:v>
      </x:c>
      <x:c r="G12" s="97" t="str"/>
      <x:c r="H12" s="97" t="str"/>
      <x:c r="I12" s="97" t="str">
        <x:v>The working design system has strong accessibility rules (focus, target size, text states, reduced motion), but implementation-level testing has not been completed.</x:v>
      </x:c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58" customHeight="1">
      <x:c r="A13" s="97" t="str">
        <x:v>VAL-09</x:v>
      </x:c>
      <x:c r="B13" s="97" t="str">
        <x:v>T02:T23</x:v>
      </x:c>
      <x:c r="C13" s="97" t="str">
        <x:v>Packaging pilot physical proof</x:v>
      </x:c>
      <x:c r="D13" s="97" t="str">
        <x:v>One approved SKU family has supplier dielines, verified copy, material/finish, process proof and signed reference sample.</x:v>
      </x:c>
      <x:c r="E13" s="97" t="str">
        <x:v>Product + Procurement + Supplier QA</x:v>
      </x:c>
      <x:c r="F13" s="97" t="str">
        <x:v>Not started</x:v>
      </x:c>
      <x:c r="G13" s="97" t="str"/>
      <x:c r="H13" s="97" t="str"/>
      <x:c r="I13" s="97" t="str">
        <x:v>Bath/body pilot family is defined conceptually; no supplier dielines, physical proofs or signed production sample supplied.</x:v>
      </x:c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58" customHeight="1">
      <x:c r="A14" s="97" t="str">
        <x:v>VAL-10</x:v>
      </x:c>
      <x:c r="B14" s="97" t="str">
        <x:v>F03:F10, T07:T11, Y05</x:v>
      </x:c>
      <x:c r="C14" s="97" t="str">
        <x:v>Packaging / product regulatory and claims review</x:v>
      </x:c>
      <x:c r="D14" s="97" t="str">
        <x:v>Market-required label content and all claims are backed by product-specific evidence and responsible approval.</x:v>
      </x:c>
      <x:c r="E14" s="97" t="str">
        <x:v>Product / Regulatory / Legal</x:v>
      </x:c>
      <x:c r="F14" s="97" t="str">
        <x:v>Not started</x:v>
      </x:c>
      <x:c r="G14" s="97" t="str"/>
      <x:c r="H14" s="97" t="str"/>
      <x:c r="I14" s="97" t="str">
        <x:v>Regulatory requirements must be established per SKU and destination market before production.</x:v>
      </x:c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58" customHeight="1">
      <x:c r="A15" s="97" t="str">
        <x:v>VAL-11</x:v>
      </x:c>
      <x:c r="B15" s="97" t="str">
        <x:v>T12:T20, U11:U13</x:v>
      </x:c>
      <x:c r="C15" s="97" t="str">
        <x:v>Supplier production acceptance</x:v>
      </x:c>
      <x:c r="D15" s="97" t="str">
        <x:v>Dielines, tolerances, color proof, minimum strokes, materials and supplier acceptance are signed and archived.</x:v>
      </x:c>
      <x:c r="E15" s="97" t="str">
        <x:v>Procurement + Supplier QA</x:v>
      </x:c>
      <x:c r="F15" s="97" t="str">
        <x:v>Not started</x:v>
      </x:c>
      <x:c r="G15" s="97" t="str"/>
      <x:c r="H15" s="97" t="str"/>
      <x:c r="I15" s="97" t="str">
        <x:v>Supplier-specific materials, tolerances, process proofs and acceptance are not yet supplied.</x:v>
      </x:c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58" customHeight="1">
      <x:c r="A16" s="97" t="str">
        <x:v>VAL-12</x:v>
      </x:c>
      <x:c r="B16" s="97" t="str">
        <x:v>S01:S14, V15</x:v>
      </x:c>
      <x:c r="C16" s="97" t="str">
        <x:v>Wayfinding fabrication / physical legibility QA</x:v>
      </x:c>
      <x:c r="D16" s="97" t="str">
        <x:v>Bilingual hierarchy, viewing distance, tactile/Braille needs, material/illumination and fabrication drawings are validated.</x:v>
      </x:c>
      <x:c r="E16" s="97" t="str">
        <x:v>Environmental Design + Accessibility QA</x:v>
      </x:c>
      <x:c r="F16" s="97" t="str">
        <x:v>Deferred</x:v>
      </x:c>
      <x:c r="G16" s="97" t="str"/>
      <x:c r="H16" s="97" t="str"/>
      <x:c r="I16" s="97" t="str">
        <x:v>Production-ready site-specific wayfinding is deferred until a live property brief exists. V3.0 will retain the environmental identity framework.</x:v>
      </x:c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 ht="58" customHeight="1">
      <x:c r="A17" s="97" t="str">
        <x:v>VAL-13</x:v>
      </x:c>
      <x:c r="B17" s="97" t="str">
        <x:v>Q01:Q21</x:v>
      </x:c>
      <x:c r="C17" s="97" t="str">
        <x:v>Digital tokens and component implementation</x:v>
      </x:c>
      <x:c r="D17" s="97" t="str">
        <x:v>Machine-readable semantic tokens and sample components are implemented and tested across required states/locales.</x:v>
      </x:c>
      <x:c r="E17" s="97" t="str">
        <x:v>Digital Design + Engineering</x:v>
      </x:c>
      <x:c r="F17" s="97" t="str">
        <x:v>In progress</x:v>
      </x:c>
      <x:c r="G17" s="97" t="str"/>
      <x:c r="H17" s="97" t="str"/>
      <x:c r="I17" s="97" t="str">
        <x:v>The design system specifies a React component bundle and tokens, but no independent implementation QA has been completed in this review.</x:v>
      </x:c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 ht="58" customHeight="1">
      <x:c r="A18" s="97" t="str">
        <x:v>VAL-14</x:v>
      </x:c>
      <x:c r="B18" s="97" t="str">
        <x:v>P01:P10, RF09</x:v>
      </x:c>
      <x:c r="C18" s="97" t="str">
        <x:v>Motion / reduced-motion master QA</x:v>
      </x:c>
      <x:c r="D18" s="97" t="str">
        <x:v>Approved motion masters match timing/easing rules and have a reduced-motion equivalent.</x:v>
      </x:c>
      <x:c r="E18" s="97" t="str">
        <x:v>Motion / Digital Lead</x:v>
      </x:c>
      <x:c r="F18" s="97" t="str">
        <x:v>In progress</x:v>
      </x:c>
      <x:c r="G18" s="97" t="str"/>
      <x:c r="H18" s="97" t="str"/>
      <x:c r="I18" s="97" t="str">
        <x:v>Motion principles and timings are specified; downloadable production masters/reduced-motion assets still need validation.</x:v>
      </x:c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 ht="58" customHeight="1">
      <x:c r="A19" s="97" t="str">
        <x:v>VAL-15</x:v>
      </x:c>
      <x:c r="B19" s="97" t="str">
        <x:v>AB01:AB02</x:v>
      </x:c>
      <x:c r="C19" s="97" t="str">
        <x:v>Native presentation/PDF QA</x:v>
      </x:c>
      <x:c r="D19" s="97" t="str">
        <x:v>Final editable deck opens, saves, reopens and exports without repair, clipping, substitution or accessibility regression.</x:v>
      </x:c>
      <x:c r="E19" s="97" t="str">
        <x:v>Presentation Production / QA</x:v>
      </x:c>
      <x:c r="F19" s="97" t="str">
        <x:v>Not started</x:v>
      </x:c>
      <x:c r="G19" s="97" t="str"/>
      <x:c r="H19" s="97" t="str"/>
      <x:c r="I19" s="97" t="str">
        <x:v>Applies to the final V3.0 deliverables once created.</x:v>
      </x:c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 ht="58" customHeight="1">
      <x:c r="A20" s="97" t="str">
        <x:v>VAL-16</x:v>
      </x:c>
      <x:c r="B20" s="97" t="str">
        <x:v>AB17, X15</x:v>
      </x:c>
      <x:c r="C20" s="97" t="str">
        <x:v>Controlled release manifest</x:v>
      </x:c>
      <x:c r="D20" s="97" t="str">
        <x:v>Final release archive includes complete file manifest/checksums and superseded-version controls.</x:v>
      </x:c>
      <x:c r="E20" s="97" t="str">
        <x:v>Asset Librarian</x:v>
      </x:c>
      <x:c r="F20" s="97" t="str">
        <x:v>Not started</x:v>
      </x:c>
      <x:c r="G20" s="97" t="str"/>
      <x:c r="H20" s="97" t="str"/>
      <x:c r="I20" s="97" t="str">
        <x:v>Final release archive/manifest will be created after V3.0 production.</x:v>
      </x:c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 ht="58" customHeight="1">
      <x:c r="A21" s="97" t="str">
        <x:v>VAL-17</x:v>
      </x:c>
      <x:c r="B21" s="97" t="str">
        <x:v>RF05:RF07, RF12</x:v>
      </x:c>
      <x:c r="C21" s="97" t="str">
        <x:v>Guideline usability test</x:v>
      </x:c>
      <x:c r="D21" s="97" t="str">
        <x:v>A designer/operator unfamiliar with the system can complete representative tasks using V3.0 alone; ambiguities are corrected.</x:v>
      </x:c>
      <x:c r="E21" s="97" t="str">
        <x:v>Brand Governance / Independent Tester</x:v>
      </x:c>
      <x:c r="F21" s="97" t="str">
        <x:v>Not started</x:v>
      </x:c>
      <x:c r="G21" s="97" t="str"/>
      <x:c r="H21" s="97" t="str"/>
      <x:c r="I21" s="97" t="str">
        <x:v>Run after the final V3.0 guideline is assembled.</x:v>
      </x:c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 ht="58" customHeight="1">
      <x:c r="A22" s="97" t="str">
        <x:v>VAL-19</x:v>
      </x:c>
      <x:c r="B22" s="97" t="str">
        <x:v>L01:L16, DS05</x:v>
      </x:c>
      <x:c r="C22" s="97" t="str">
        <x:v>Typography architecture and tracking QA</x:v>
      </x:c>
      <x:c r="D22" s="97" t="str">
        <x:v>Jost + Inter exact builds are licensed/frozen; style-specific tracking values are visually approved; native export/rendering is stable.</x:v>
      </x:c>
      <x:c r="E22" s="97" t="str">
        <x:v>Design Custodian / Presentation QA</x:v>
      </x:c>
      <x:c r="F22" s="97" t="str">
        <x:v>In progress</x:v>
      </x:c>
      <x:c r="G22" s="97"/>
      <x:c r="H22" s="97"/>
      <x:c r="I22" s="97" t="str">
        <x:v>Jost + Inter architecture is approved; tracking values and exact font builds still need optical/native QA.</x:v>
      </x:c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A23" s="81" t="str">
        <x:v>VAL-20</x:v>
      </x:c>
      <x:c r="B23" s="81" t="str">
        <x:v>Q17:Q20, DS03, DS06, DS07</x:v>
      </x:c>
      <x:c r="C23" s="81" t="str">
        <x:v>Responsive, locale and living digital-system QA</x:v>
      </x:c>
      <x:c r="D23" s="81" t="str">
        <x:v>Approved responsive matrix, locale-aware dates/numerals/direction and living component documentation are implemented and tested.</x:v>
      </x:c>
      <x:c r="E23" s="81" t="str">
        <x:v>Digital Design + Engineering + Localization QA</x:v>
      </x:c>
      <x:c r="F23" s="81" t="str">
        <x:v>Not started</x:v>
      </x:c>
      <x:c r="G23" s="81"/>
      <x:c r="H23" s="81"/>
      <x:c r="I23" s="81" t="str">
        <x:v>Responsive matrix and locale-aware behavior are approved as direction; implementation testing remains outstanding.</x:v>
      </x:c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A24" s="81" t="str">
        <x:v>VAL-21</x:v>
      </x:c>
      <x:c r="B24" s="81" t="str">
        <x:v>DS01:DS04, AB21:AB22</x:v>
      </x:c>
      <x:c r="C24" s="81" t="str">
        <x:v>Cross-document release consistency</x:v>
      </x:c>
      <x:c r="D24" s="81" t="str">
        <x:v>Brand Guidelines, Digital Design System and Production Standards share the same version, asset IDs, terminology and approval status without contradictory rules.</x:v>
      </x:c>
      <x:c r="E24" s="81" t="str">
        <x:v>Brand Governance / Design Custodian</x:v>
      </x:c>
      <x:c r="F24" s="81" t="str">
        <x:v>Not started</x:v>
      </x:c>
      <x:c r="G24" s="81"/>
      <x:c r="H24" s="81"/>
      <x:c r="I24" s="81" t="str">
        <x:v>Will be performed after the Brand Guidelines, Digital Design System and Production Standards are assembled.</x:v>
      </x:c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A25" s="75"/>
      <x:c r="B25" s="75"/>
      <x:c r="C25" s="75"/>
      <x:c r="D25" s="75"/>
      <x:c r="E25" s="75"/>
      <x:c r="F25" s="75"/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A26" s="75"/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A27" s="75"/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A30" s="75"/>
      <x:c r="B30" s="75"/>
      <x:c r="C30" s="75"/>
      <x:c r="D30" s="75"/>
      <x:c r="E30" s="75"/>
      <x:c r="F30" s="75"/>
      <x:c r="G30" s="75"/>
      <x:c r="H30" s="75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A66" s="75"/>
      <x:c r="B66" s="75"/>
      <x:c r="C66" s="75"/>
      <x:c r="D66" s="75"/>
      <x:c r="E66" s="75"/>
      <x:c r="F66" s="75"/>
      <x:c r="G66" s="75"/>
      <x:c r="H66" s="75"/>
      <x:c r="I66" s="75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A67" s="75"/>
      <x:c r="B67" s="75"/>
      <x:c r="C67" s="75"/>
      <x:c r="D67" s="75"/>
      <x:c r="E67" s="75"/>
      <x:c r="F67" s="75"/>
      <x:c r="G67" s="75"/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A68" s="75"/>
      <x:c r="B68" s="75"/>
      <x:c r="C68" s="75"/>
      <x:c r="D68" s="75"/>
      <x:c r="E68" s="75"/>
      <x:c r="F68" s="75"/>
      <x:c r="G68" s="75"/>
      <x:c r="H68" s="75"/>
      <x:c r="I68" s="75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A69" s="75"/>
      <x:c r="B69" s="75"/>
      <x:c r="C69" s="75"/>
      <x:c r="D69" s="75"/>
      <x:c r="E69" s="75"/>
      <x:c r="F69" s="75"/>
      <x:c r="G69" s="75"/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A70" s="75"/>
      <x:c r="B70" s="75"/>
      <x:c r="C70" s="75"/>
      <x:c r="D70" s="75"/>
      <x:c r="E70" s="75"/>
      <x:c r="F70" s="75"/>
      <x:c r="G70" s="75"/>
      <x:c r="H70" s="75"/>
      <x:c r="I70" s="75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A71" s="75"/>
      <x:c r="B71" s="75"/>
      <x:c r="C71" s="75"/>
      <x:c r="D71" s="75"/>
      <x:c r="E71" s="75"/>
      <x:c r="F71" s="75"/>
      <x:c r="G71" s="75"/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A72" s="75"/>
      <x:c r="B72" s="75"/>
      <x:c r="C72" s="75"/>
      <x:c r="D72" s="75"/>
      <x:c r="E72" s="75"/>
      <x:c r="F72" s="75"/>
      <x:c r="G72" s="75"/>
      <x:c r="H72" s="75"/>
      <x:c r="I72" s="75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A73" s="75"/>
      <x:c r="B73" s="75"/>
      <x:c r="C73" s="75"/>
      <x:c r="D73" s="75"/>
      <x:c r="E73" s="75"/>
      <x:c r="F73" s="75"/>
      <x:c r="G73" s="75"/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A74" s="75"/>
      <x:c r="B74" s="75"/>
      <x:c r="C74" s="75"/>
      <x:c r="D74" s="75"/>
      <x:c r="E74" s="75"/>
      <x:c r="F74" s="75"/>
      <x:c r="G74" s="75"/>
      <x:c r="H74" s="75"/>
      <x:c r="I74" s="75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A75" s="75"/>
      <x:c r="B75" s="75"/>
      <x:c r="C75" s="75"/>
      <x:c r="D75" s="75"/>
      <x:c r="E75" s="75"/>
      <x:c r="F75" s="75"/>
      <x:c r="G75" s="75"/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A76" s="75"/>
      <x:c r="B76" s="75"/>
      <x:c r="C76" s="75"/>
      <x:c r="D76" s="75"/>
      <x:c r="E76" s="75"/>
      <x:c r="F76" s="75"/>
      <x:c r="G76" s="75"/>
      <x:c r="H76" s="75"/>
      <x:c r="I76" s="75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A77" s="75"/>
      <x:c r="B77" s="75"/>
      <x:c r="C77" s="75"/>
      <x:c r="D77" s="75"/>
      <x:c r="E77" s="75"/>
      <x:c r="F77" s="75"/>
      <x:c r="G77" s="75"/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A78" s="75"/>
      <x:c r="B78" s="75"/>
      <x:c r="C78" s="75"/>
      <x:c r="D78" s="75"/>
      <x:c r="E78" s="75"/>
      <x:c r="F78" s="75"/>
      <x:c r="G78" s="75"/>
      <x:c r="H78" s="75"/>
      <x:c r="I78" s="75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A79" s="75"/>
      <x:c r="B79" s="75"/>
      <x:c r="C79" s="75"/>
      <x:c r="D79" s="75"/>
      <x:c r="E79" s="75"/>
      <x:c r="F79" s="75"/>
      <x:c r="G79" s="75"/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A80" s="75"/>
      <x:c r="B80" s="75"/>
      <x:c r="C80" s="75"/>
      <x:c r="D80" s="75"/>
      <x:c r="E80" s="75"/>
      <x:c r="F80" s="75"/>
      <x:c r="G80" s="75"/>
      <x:c r="H80" s="75"/>
      <x:c r="I80" s="75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A81" s="75"/>
      <x:c r="B81" s="75"/>
      <x:c r="C81" s="75"/>
      <x:c r="D81" s="75"/>
      <x:c r="E81" s="75"/>
      <x:c r="F81" s="75"/>
      <x:c r="G81" s="75"/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A82" s="75"/>
      <x:c r="B82" s="75"/>
      <x:c r="C82" s="75"/>
      <x:c r="D82" s="75"/>
      <x:c r="E82" s="75"/>
      <x:c r="F82" s="75"/>
      <x:c r="G82" s="75"/>
      <x:c r="H82" s="75"/>
      <x:c r="I82" s="75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A83" s="75"/>
      <x:c r="B83" s="75"/>
      <x:c r="C83" s="75"/>
      <x:c r="D83" s="75"/>
      <x:c r="E83" s="75"/>
      <x:c r="F83" s="75"/>
      <x:c r="G83" s="75"/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A84" s="75"/>
      <x:c r="B84" s="75"/>
      <x:c r="C84" s="75"/>
      <x:c r="D84" s="75"/>
      <x:c r="E84" s="75"/>
      <x:c r="F84" s="75"/>
      <x:c r="G84" s="75"/>
      <x:c r="H84" s="75"/>
      <x:c r="I84" s="75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A85" s="75"/>
      <x:c r="B85" s="75"/>
      <x:c r="C85" s="75"/>
      <x:c r="D85" s="75"/>
      <x:c r="E85" s="75"/>
      <x:c r="F85" s="75"/>
      <x:c r="G85" s="75"/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A86" s="75"/>
      <x:c r="B86" s="75"/>
      <x:c r="C86" s="75"/>
      <x:c r="D86" s="75"/>
      <x:c r="E86" s="75"/>
      <x:c r="F86" s="75"/>
      <x:c r="G86" s="75"/>
      <x:c r="H86" s="75"/>
      <x:c r="I86" s="75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A87" s="75"/>
      <x:c r="B87" s="75"/>
      <x:c r="C87" s="75"/>
      <x:c r="D87" s="75"/>
      <x:c r="E87" s="75"/>
      <x:c r="F87" s="75"/>
      <x:c r="G87" s="75"/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A88" s="75"/>
      <x:c r="B88" s="75"/>
      <x:c r="C88" s="75"/>
      <x:c r="D88" s="75"/>
      <x:c r="E88" s="75"/>
      <x:c r="F88" s="75"/>
      <x:c r="G88" s="75"/>
      <x:c r="H88" s="75"/>
      <x:c r="I88" s="75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A89" s="75"/>
      <x:c r="B89" s="75"/>
      <x:c r="C89" s="75"/>
      <x:c r="D89" s="75"/>
      <x:c r="E89" s="75"/>
      <x:c r="F89" s="75"/>
      <x:c r="G89" s="75"/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A90" s="75"/>
      <x:c r="B90" s="75"/>
      <x:c r="C90" s="75"/>
      <x:c r="D90" s="75"/>
      <x:c r="E90" s="75"/>
      <x:c r="F90" s="75"/>
      <x:c r="G90" s="75"/>
      <x:c r="H90" s="75"/>
      <x:c r="I90" s="75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A91" s="75"/>
      <x:c r="B91" s="75"/>
      <x:c r="C91" s="75"/>
      <x:c r="D91" s="75"/>
      <x:c r="E91" s="75"/>
      <x:c r="F91" s="75"/>
      <x:c r="G91" s="75"/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A92" s="75"/>
      <x:c r="B92" s="75"/>
      <x:c r="C92" s="75"/>
      <x:c r="D92" s="75"/>
      <x:c r="E92" s="75"/>
      <x:c r="F92" s="75"/>
      <x:c r="G92" s="75"/>
      <x:c r="H92" s="75"/>
      <x:c r="I92" s="75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A93" s="75"/>
      <x:c r="B93" s="75"/>
      <x:c r="C93" s="75"/>
      <x:c r="D93" s="75"/>
      <x:c r="E93" s="75"/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A94" s="75"/>
      <x:c r="B94" s="75"/>
      <x:c r="C94" s="75"/>
      <x:c r="D94" s="75"/>
      <x:c r="E94" s="75"/>
      <x:c r="F94" s="75"/>
      <x:c r="G94" s="75"/>
      <x:c r="H94" s="75"/>
      <x:c r="I94" s="75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A95" s="75"/>
      <x:c r="B95" s="75"/>
      <x:c r="C95" s="75"/>
      <x:c r="D95" s="75"/>
      <x:c r="E95" s="75"/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A96" s="75"/>
      <x:c r="B96" s="75"/>
      <x:c r="C96" s="75"/>
      <x:c r="D96" s="75"/>
      <x:c r="E96" s="75"/>
      <x:c r="F96" s="75"/>
      <x:c r="G96" s="75"/>
      <x:c r="H96" s="75"/>
      <x:c r="I96" s="75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A97" s="75"/>
      <x:c r="B97" s="75"/>
      <x:c r="C97" s="75"/>
      <x:c r="D97" s="75"/>
      <x:c r="E97" s="75"/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A98" s="75"/>
      <x:c r="B98" s="75"/>
      <x:c r="C98" s="75"/>
      <x:c r="D98" s="75"/>
      <x:c r="E98" s="75"/>
      <x:c r="F98" s="75"/>
      <x:c r="G98" s="75"/>
      <x:c r="H98" s="75"/>
      <x:c r="I98" s="75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A99" s="75"/>
      <x:c r="B99" s="75"/>
      <x:c r="C99" s="75"/>
      <x:c r="D99" s="75"/>
      <x:c r="E99" s="75"/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A100" s="75"/>
      <x:c r="B100" s="75"/>
      <x:c r="C100" s="75"/>
      <x:c r="D100" s="75"/>
      <x:c r="E100" s="75"/>
      <x:c r="F100" s="75"/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A101" s="75"/>
      <x:c r="B101" s="75"/>
      <x:c r="C101" s="75"/>
      <x:c r="D101" s="75"/>
      <x:c r="E101" s="75"/>
      <x:c r="F101" s="75"/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A102" s="75"/>
      <x:c r="B102" s="75"/>
      <x:c r="C102" s="75"/>
      <x:c r="D102" s="75"/>
      <x:c r="E102" s="75"/>
      <x:c r="F102" s="75"/>
      <x:c r="G102" s="75"/>
      <x:c r="H102" s="75"/>
      <x:c r="I102" s="75"/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A103" s="75"/>
      <x:c r="B103" s="75"/>
      <x:c r="C103" s="75"/>
      <x:c r="D103" s="75"/>
      <x:c r="E103" s="75"/>
      <x:c r="F103" s="75"/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A104" s="75"/>
      <x:c r="B104" s="75"/>
      <x:c r="C104" s="75"/>
      <x:c r="D104" s="75"/>
      <x:c r="E104" s="75"/>
      <x:c r="F104" s="75"/>
      <x:c r="G104" s="75"/>
      <x:c r="H104" s="75"/>
      <x:c r="I104" s="75"/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A105" s="75"/>
      <x:c r="B105" s="75"/>
      <x:c r="C105" s="75"/>
      <x:c r="D105" s="75"/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A106" s="75"/>
      <x:c r="B106" s="75"/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A107" s="75"/>
      <x:c r="B107" s="75"/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A108" s="75"/>
      <x:c r="B108" s="75"/>
      <x:c r="C108" s="75"/>
      <x:c r="D108" s="75"/>
      <x:c r="E108" s="75"/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A109" s="75"/>
      <x:c r="B109" s="75"/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A110" s="75"/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A111" s="75"/>
      <x:c r="B111" s="75"/>
      <x:c r="C111" s="75"/>
      <x:c r="D111" s="75"/>
      <x:c r="E111" s="75"/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A112" s="75"/>
      <x:c r="B112" s="75"/>
      <x:c r="C112" s="75"/>
      <x:c r="D112" s="75"/>
      <x:c r="E112" s="75"/>
      <x:c r="F112" s="75"/>
      <x:c r="G112" s="75"/>
      <x:c r="H112" s="75"/>
      <x:c r="I112" s="75"/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A113" s="75"/>
      <x:c r="B113" s="75"/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A114" s="75"/>
      <x:c r="B114" s="75"/>
      <x:c r="C114" s="75"/>
      <x:c r="D114" s="75"/>
      <x:c r="E114" s="75"/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A115" s="75"/>
      <x:c r="B115" s="75"/>
      <x:c r="C115" s="75"/>
      <x:c r="D115" s="75"/>
      <x:c r="E115" s="75"/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A116" s="75"/>
      <x:c r="B116" s="75"/>
      <x:c r="C116" s="75"/>
      <x:c r="D116" s="75"/>
      <x:c r="E116" s="75"/>
      <x:c r="F116" s="75"/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A117" s="75"/>
      <x:c r="B117" s="75"/>
      <x:c r="C117" s="75"/>
      <x:c r="D117" s="75"/>
      <x:c r="E117" s="75"/>
      <x:c r="F117" s="75"/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A118" s="75"/>
      <x:c r="B118" s="75"/>
      <x:c r="C118" s="75"/>
      <x:c r="D118" s="75"/>
      <x:c r="E118" s="75"/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A119" s="75"/>
      <x:c r="B119" s="75"/>
      <x:c r="C119" s="75"/>
      <x:c r="D119" s="75"/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A120" s="75"/>
      <x:c r="B120" s="75"/>
      <x:c r="C120" s="75"/>
      <x:c r="D120" s="75"/>
      <x:c r="E120" s="75"/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A121" s="75"/>
      <x:c r="B121" s="75"/>
      <x:c r="C121" s="75"/>
      <x:c r="D121" s="75"/>
      <x:c r="E121" s="75"/>
      <x:c r="F121" s="75"/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A122" s="75"/>
      <x:c r="B122" s="75"/>
      <x:c r="C122" s="75"/>
      <x:c r="D122" s="75"/>
      <x:c r="E122" s="75"/>
      <x:c r="F122" s="75"/>
      <x:c r="G122" s="75"/>
      <x:c r="H122" s="75"/>
      <x:c r="I122" s="75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A123" s="75"/>
      <x:c r="B123" s="75"/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A124" s="75"/>
      <x:c r="B124" s="75"/>
      <x:c r="C124" s="75"/>
      <x:c r="D124" s="75"/>
      <x:c r="E124" s="75"/>
      <x:c r="F124" s="75"/>
      <x:c r="G124" s="75"/>
      <x:c r="H124" s="75"/>
      <x:c r="I124" s="75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A125" s="75"/>
      <x:c r="B125" s="75"/>
      <x:c r="C125" s="75"/>
      <x:c r="D125" s="75"/>
      <x:c r="E125" s="75"/>
      <x:c r="F125" s="75"/>
      <x:c r="G125" s="75"/>
      <x:c r="H125" s="75"/>
      <x:c r="I125" s="75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A126" s="75"/>
      <x:c r="B126" s="75"/>
      <x:c r="C126" s="75"/>
      <x:c r="D126" s="75"/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A127" s="75"/>
      <x:c r="B127" s="75"/>
      <x:c r="C127" s="75"/>
      <x:c r="D127" s="75"/>
      <x:c r="E127" s="75"/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A128" s="75"/>
      <x:c r="B128" s="75"/>
      <x:c r="C128" s="75"/>
      <x:c r="D128" s="75"/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A129" s="75"/>
      <x:c r="B129" s="75"/>
      <x:c r="C129" s="75"/>
      <x:c r="D129" s="75"/>
      <x:c r="E129" s="75"/>
      <x:c r="F129" s="75"/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A130" s="75"/>
      <x:c r="B130" s="75"/>
      <x:c r="C130" s="75"/>
      <x:c r="D130" s="75"/>
      <x:c r="E130" s="75"/>
      <x:c r="F130" s="75"/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A131" s="75"/>
      <x:c r="B131" s="75"/>
      <x:c r="C131" s="75"/>
      <x:c r="D131" s="75"/>
      <x:c r="E131" s="75"/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A132" s="75"/>
      <x:c r="B132" s="75"/>
      <x:c r="C132" s="75"/>
      <x:c r="D132" s="75"/>
      <x:c r="E132" s="75"/>
      <x:c r="F132" s="75"/>
      <x:c r="G132" s="75"/>
      <x:c r="H132" s="75"/>
      <x:c r="I132" s="75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A133" s="75"/>
      <x:c r="B133" s="75"/>
      <x:c r="C133" s="75"/>
      <x:c r="D133" s="75"/>
      <x:c r="E133" s="75"/>
      <x:c r="F133" s="75"/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A134" s="75"/>
      <x:c r="B134" s="75"/>
      <x:c r="C134" s="75"/>
      <x:c r="D134" s="75"/>
      <x:c r="E134" s="75"/>
      <x:c r="F134" s="75"/>
      <x:c r="G134" s="75"/>
      <x:c r="H134" s="75"/>
      <x:c r="I134" s="75"/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A135" s="75"/>
      <x:c r="B135" s="75"/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A136" s="75"/>
      <x:c r="B136" s="75"/>
      <x:c r="C136" s="75"/>
      <x:c r="D136" s="75"/>
      <x:c r="E136" s="75"/>
      <x:c r="F136" s="75"/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A137" s="75"/>
      <x:c r="B137" s="75"/>
      <x:c r="C137" s="75"/>
      <x:c r="D137" s="75"/>
      <x:c r="E137" s="75"/>
      <x:c r="F137" s="75"/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A138" s="75"/>
      <x:c r="B138" s="75"/>
      <x:c r="C138" s="75"/>
      <x:c r="D138" s="75"/>
      <x:c r="E138" s="75"/>
      <x:c r="F138" s="75"/>
      <x:c r="G138" s="75"/>
      <x:c r="H138" s="75"/>
      <x:c r="I138" s="75"/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A139" s="75"/>
      <x:c r="B139" s="75"/>
      <x:c r="C139" s="75"/>
      <x:c r="D139" s="75"/>
      <x:c r="E139" s="75"/>
      <x:c r="F139" s="75"/>
      <x:c r="G139" s="75"/>
      <x:c r="H139" s="75"/>
      <x:c r="I139" s="75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A140" s="75"/>
      <x:c r="B140" s="75"/>
      <x:c r="C140" s="75"/>
      <x:c r="D140" s="75"/>
      <x:c r="E140" s="75"/>
      <x:c r="F140" s="75"/>
      <x:c r="G140" s="75"/>
      <x:c r="H140" s="75"/>
      <x:c r="I140" s="75"/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A141" s="75"/>
      <x:c r="B141" s="75"/>
      <x:c r="C141" s="75"/>
      <x:c r="D141" s="75"/>
      <x:c r="E141" s="75"/>
      <x:c r="F141" s="75"/>
      <x:c r="G141" s="75"/>
      <x:c r="H141" s="75"/>
      <x:c r="I141" s="75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A142" s="75"/>
      <x:c r="B142" s="75"/>
      <x:c r="C142" s="75"/>
      <x:c r="D142" s="75"/>
      <x:c r="E142" s="75"/>
      <x:c r="F142" s="75"/>
      <x:c r="G142" s="75"/>
      <x:c r="H142" s="75"/>
      <x:c r="I142" s="75"/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A143" s="75"/>
      <x:c r="B143" s="75"/>
      <x:c r="C143" s="75"/>
      <x:c r="D143" s="75"/>
      <x:c r="E143" s="75"/>
      <x:c r="F143" s="75"/>
      <x:c r="G143" s="75"/>
      <x:c r="H143" s="75"/>
      <x:c r="I143" s="75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A144" s="75"/>
      <x:c r="B144" s="75"/>
      <x:c r="C144" s="75"/>
      <x:c r="D144" s="75"/>
      <x:c r="E144" s="75"/>
      <x:c r="F144" s="75"/>
      <x:c r="G144" s="75"/>
      <x:c r="H144" s="75"/>
      <x:c r="I144" s="75"/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A145" s="75"/>
      <x:c r="B145" s="75"/>
      <x:c r="C145" s="75"/>
      <x:c r="D145" s="75"/>
      <x:c r="E145" s="75"/>
      <x:c r="F145" s="75"/>
      <x:c r="G145" s="75"/>
      <x:c r="H145" s="75"/>
      <x:c r="I145" s="75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A146" s="75"/>
      <x:c r="B146" s="75"/>
      <x:c r="C146" s="75"/>
      <x:c r="D146" s="75"/>
      <x:c r="E146" s="75"/>
      <x:c r="F146" s="75"/>
      <x:c r="G146" s="75"/>
      <x:c r="H146" s="75"/>
      <x:c r="I146" s="75"/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A147" s="75"/>
      <x:c r="B147" s="75"/>
      <x:c r="C147" s="75"/>
      <x:c r="D147" s="75"/>
      <x:c r="E147" s="75"/>
      <x:c r="F147" s="75"/>
      <x:c r="G147" s="75"/>
      <x:c r="H147" s="75"/>
      <x:c r="I147" s="75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A148" s="75"/>
      <x:c r="B148" s="75"/>
      <x:c r="C148" s="75"/>
      <x:c r="D148" s="75"/>
      <x:c r="E148" s="75"/>
      <x:c r="F148" s="75"/>
      <x:c r="G148" s="75"/>
      <x:c r="H148" s="75"/>
      <x:c r="I148" s="75"/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A149" s="75"/>
      <x:c r="B149" s="75"/>
      <x:c r="C149" s="75"/>
      <x:c r="D149" s="75"/>
      <x:c r="E149" s="75"/>
      <x:c r="F149" s="75"/>
      <x:c r="G149" s="75"/>
      <x:c r="H149" s="75"/>
      <x:c r="I149" s="75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A150" s="75"/>
      <x:c r="B150" s="75"/>
      <x:c r="C150" s="75"/>
      <x:c r="D150" s="75"/>
      <x:c r="E150" s="75"/>
      <x:c r="F150" s="75"/>
      <x:c r="G150" s="75"/>
      <x:c r="H150" s="75"/>
      <x:c r="I150" s="75"/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A151" s="75"/>
      <x:c r="B151" s="75"/>
      <x:c r="C151" s="75"/>
      <x:c r="D151" s="75"/>
      <x:c r="E151" s="75"/>
      <x:c r="F151" s="75"/>
      <x:c r="G151" s="75"/>
      <x:c r="H151" s="75"/>
      <x:c r="I151" s="75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A152" s="75"/>
      <x:c r="B152" s="75"/>
      <x:c r="C152" s="75"/>
      <x:c r="D152" s="75"/>
      <x:c r="E152" s="75"/>
      <x:c r="F152" s="75"/>
      <x:c r="G152" s="75"/>
      <x:c r="H152" s="75"/>
      <x:c r="I152" s="75"/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A153" s="75"/>
      <x:c r="B153" s="75"/>
      <x:c r="C153" s="75"/>
      <x:c r="D153" s="75"/>
      <x:c r="E153" s="75"/>
      <x:c r="F153" s="75"/>
      <x:c r="G153" s="75"/>
      <x:c r="H153" s="75"/>
      <x:c r="I153" s="75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A154" s="75"/>
      <x:c r="B154" s="75"/>
      <x:c r="C154" s="75"/>
      <x:c r="D154" s="75"/>
      <x:c r="E154" s="75"/>
      <x:c r="F154" s="75"/>
      <x:c r="G154" s="75"/>
      <x:c r="H154" s="75"/>
      <x:c r="I154" s="75"/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A155" s="75"/>
      <x:c r="B155" s="75"/>
      <x:c r="C155" s="75"/>
      <x:c r="D155" s="75"/>
      <x:c r="E155" s="75"/>
      <x:c r="F155" s="75"/>
      <x:c r="G155" s="75"/>
      <x:c r="H155" s="75"/>
      <x:c r="I155" s="75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  <x:row r="156">
      <x:c r="A156" s="75"/>
      <x:c r="B156" s="75"/>
      <x:c r="C156" s="75"/>
      <x:c r="D156" s="75"/>
      <x:c r="E156" s="75"/>
      <x:c r="F156" s="75"/>
      <x:c r="G156" s="75"/>
      <x:c r="H156" s="75"/>
      <x:c r="I156" s="75"/>
      <x:c r="J156" s="75"/>
      <x:c r="K156" s="75"/>
      <x:c r="L156" s="75"/>
      <x:c r="M156" s="75"/>
      <x:c r="N156" s="75"/>
      <x:c r="O156" s="75"/>
      <x:c r="P156" s="75"/>
      <x:c r="Q156" s="75"/>
      <x:c r="R156" s="75"/>
      <x:c r="S156" s="75"/>
      <x:c r="T156" s="75"/>
      <x:c r="U156" s="75"/>
      <x:c r="V156" s="75"/>
      <x:c r="W156" s="75"/>
      <x:c r="X156" s="75"/>
      <x:c r="Y156" s="75"/>
      <x:c r="Z156" s="75"/>
    </x:row>
    <x:row r="157">
      <x:c r="A157" s="75"/>
      <x:c r="B157" s="75"/>
      <x:c r="C157" s="75"/>
      <x:c r="D157" s="75"/>
      <x:c r="E157" s="75"/>
      <x:c r="F157" s="75"/>
      <x:c r="G157" s="75"/>
      <x:c r="H157" s="75"/>
      <x:c r="I157" s="75"/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</x:row>
    <x:row r="158">
      <x:c r="A158" s="75"/>
      <x:c r="B158" s="75"/>
      <x:c r="C158" s="75"/>
      <x:c r="D158" s="75"/>
      <x:c r="E158" s="75"/>
      <x:c r="F158" s="75"/>
      <x:c r="G158" s="75"/>
      <x:c r="H158" s="75"/>
      <x:c r="I158" s="75"/>
      <x:c r="J158" s="75"/>
      <x:c r="K158" s="75"/>
      <x:c r="L158" s="75"/>
      <x:c r="M158" s="75"/>
      <x:c r="N158" s="75"/>
      <x:c r="O158" s="75"/>
      <x:c r="P158" s="75"/>
      <x:c r="Q158" s="75"/>
      <x:c r="R158" s="75"/>
      <x:c r="S158" s="75"/>
      <x:c r="T158" s="75"/>
      <x:c r="U158" s="75"/>
      <x:c r="V158" s="75"/>
      <x:c r="W158" s="75"/>
      <x:c r="X158" s="75"/>
      <x:c r="Y158" s="75"/>
      <x:c r="Z158" s="75"/>
    </x:row>
    <x:row r="159">
      <x:c r="A159" s="75"/>
      <x:c r="B159" s="75"/>
      <x:c r="C159" s="75"/>
      <x:c r="D159" s="75"/>
      <x:c r="E159" s="75"/>
      <x:c r="F159" s="75"/>
      <x:c r="G159" s="75"/>
      <x:c r="H159" s="75"/>
      <x:c r="I159" s="75"/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</x:row>
    <x:row r="160">
      <x:c r="A160" s="75"/>
      <x:c r="B160" s="75"/>
      <x:c r="C160" s="75"/>
      <x:c r="D160" s="75"/>
      <x:c r="E160" s="75"/>
      <x:c r="F160" s="75"/>
      <x:c r="G160" s="75"/>
      <x:c r="H160" s="75"/>
      <x:c r="I160" s="75"/>
      <x:c r="J160" s="75"/>
      <x:c r="K160" s="75"/>
      <x:c r="L160" s="75"/>
      <x:c r="M160" s="75"/>
      <x:c r="N160" s="75"/>
      <x:c r="O160" s="75"/>
      <x:c r="P160" s="75"/>
      <x:c r="Q160" s="75"/>
      <x:c r="R160" s="75"/>
      <x:c r="S160" s="75"/>
      <x:c r="T160" s="75"/>
      <x:c r="U160" s="75"/>
      <x:c r="V160" s="75"/>
      <x:c r="W160" s="75"/>
      <x:c r="X160" s="75"/>
      <x:c r="Y160" s="75"/>
      <x:c r="Z160" s="75"/>
    </x:row>
    <x:row r="161">
      <x:c r="A161" s="75"/>
      <x:c r="B161" s="75"/>
      <x:c r="C161" s="75"/>
      <x:c r="D161" s="75"/>
      <x:c r="E161" s="75"/>
      <x:c r="F161" s="75"/>
      <x:c r="G161" s="75"/>
      <x:c r="H161" s="75"/>
      <x:c r="I161" s="75"/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</x:row>
    <x:row r="162">
      <x:c r="A162" s="75"/>
      <x:c r="B162" s="75"/>
      <x:c r="C162" s="75"/>
      <x:c r="D162" s="75"/>
      <x:c r="E162" s="75"/>
      <x:c r="F162" s="75"/>
      <x:c r="G162" s="75"/>
      <x:c r="H162" s="75"/>
      <x:c r="I162" s="75"/>
      <x:c r="J162" s="75"/>
      <x:c r="K162" s="75"/>
      <x:c r="L162" s="75"/>
      <x:c r="M162" s="75"/>
      <x:c r="N162" s="75"/>
      <x:c r="O162" s="75"/>
      <x:c r="P162" s="75"/>
      <x:c r="Q162" s="75"/>
      <x:c r="R162" s="75"/>
      <x:c r="S162" s="75"/>
      <x:c r="T162" s="75"/>
      <x:c r="U162" s="75"/>
      <x:c r="V162" s="75"/>
      <x:c r="W162" s="75"/>
      <x:c r="X162" s="75"/>
      <x:c r="Y162" s="75"/>
      <x:c r="Z162" s="75"/>
    </x:row>
    <x:row r="163">
      <x:c r="A163" s="75"/>
      <x:c r="B163" s="75"/>
      <x:c r="C163" s="75"/>
      <x:c r="D163" s="75"/>
      <x:c r="E163" s="75"/>
      <x:c r="F163" s="75"/>
      <x:c r="G163" s="75"/>
      <x:c r="H163" s="75"/>
      <x:c r="I163" s="75"/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</x:row>
    <x:row r="164">
      <x:c r="A164" s="75"/>
      <x:c r="B164" s="75"/>
      <x:c r="C164" s="75"/>
      <x:c r="D164" s="75"/>
      <x:c r="E164" s="75"/>
      <x:c r="F164" s="75"/>
      <x:c r="G164" s="75"/>
      <x:c r="H164" s="75"/>
      <x:c r="I164" s="75"/>
      <x:c r="J164" s="75"/>
      <x:c r="K164" s="75"/>
      <x:c r="L164" s="75"/>
      <x:c r="M164" s="75"/>
      <x:c r="N164" s="75"/>
      <x:c r="O164" s="75"/>
      <x:c r="P164" s="75"/>
      <x:c r="Q164" s="75"/>
      <x:c r="R164" s="75"/>
      <x:c r="S164" s="75"/>
      <x:c r="T164" s="75"/>
      <x:c r="U164" s="75"/>
      <x:c r="V164" s="75"/>
      <x:c r="W164" s="75"/>
      <x:c r="X164" s="75"/>
      <x:c r="Y164" s="75"/>
      <x:c r="Z164" s="75"/>
    </x:row>
    <x:row r="165">
      <x:c r="A165" s="75"/>
      <x:c r="B165" s="75"/>
      <x:c r="C165" s="75"/>
      <x:c r="D165" s="75"/>
      <x:c r="E165" s="75"/>
      <x:c r="F165" s="75"/>
      <x:c r="G165" s="75"/>
      <x:c r="H165" s="75"/>
      <x:c r="I165" s="75"/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</x:row>
    <x:row r="166">
      <x:c r="A166" s="75"/>
      <x:c r="B166" s="75"/>
      <x:c r="C166" s="75"/>
      <x:c r="D166" s="75"/>
      <x:c r="E166" s="75"/>
      <x:c r="F166" s="75"/>
      <x:c r="G166" s="75"/>
      <x:c r="H166" s="75"/>
      <x:c r="I166" s="75"/>
      <x:c r="J166" s="75"/>
      <x:c r="K166" s="75"/>
      <x:c r="L166" s="75"/>
      <x:c r="M166" s="75"/>
      <x:c r="N166" s="75"/>
      <x:c r="O166" s="75"/>
      <x:c r="P166" s="75"/>
      <x:c r="Q166" s="75"/>
      <x:c r="R166" s="75"/>
      <x:c r="S166" s="75"/>
      <x:c r="T166" s="75"/>
      <x:c r="U166" s="75"/>
      <x:c r="V166" s="75"/>
      <x:c r="W166" s="75"/>
      <x:c r="X166" s="75"/>
      <x:c r="Y166" s="75"/>
      <x:c r="Z166" s="75"/>
    </x:row>
    <x:row r="167">
      <x:c r="A167" s="75"/>
      <x:c r="B167" s="75"/>
      <x:c r="C167" s="75"/>
      <x:c r="D167" s="75"/>
      <x:c r="E167" s="75"/>
      <x:c r="F167" s="75"/>
      <x:c r="G167" s="75"/>
      <x:c r="H167" s="75"/>
      <x:c r="I167" s="75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</x:row>
    <x:row r="168">
      <x:c r="A168" s="75"/>
      <x:c r="B168" s="75"/>
      <x:c r="C168" s="75"/>
      <x:c r="D168" s="75"/>
      <x:c r="E168" s="75"/>
      <x:c r="F168" s="75"/>
      <x:c r="G168" s="75"/>
      <x:c r="H168" s="75"/>
      <x:c r="I168" s="75"/>
      <x:c r="J168" s="75"/>
      <x:c r="K168" s="75"/>
      <x:c r="L168" s="75"/>
      <x:c r="M168" s="75"/>
      <x:c r="N168" s="75"/>
      <x:c r="O168" s="75"/>
      <x:c r="P168" s="75"/>
      <x:c r="Q168" s="75"/>
      <x:c r="R168" s="75"/>
      <x:c r="S168" s="75"/>
      <x:c r="T168" s="75"/>
      <x:c r="U168" s="75"/>
      <x:c r="V168" s="75"/>
      <x:c r="W168" s="75"/>
      <x:c r="X168" s="75"/>
      <x:c r="Y168" s="75"/>
      <x:c r="Z168" s="75"/>
    </x:row>
    <x:row r="169">
      <x:c r="A169" s="75"/>
      <x:c r="B169" s="75"/>
      <x:c r="C169" s="75"/>
      <x:c r="D169" s="75"/>
      <x:c r="E169" s="75"/>
      <x:c r="F169" s="75"/>
      <x:c r="G169" s="75"/>
      <x:c r="H169" s="75"/>
      <x:c r="I169" s="75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</x:row>
    <x:row r="170">
      <x:c r="A170" s="75"/>
      <x:c r="B170" s="75"/>
      <x:c r="C170" s="75"/>
      <x:c r="D170" s="75"/>
      <x:c r="E170" s="75"/>
      <x:c r="F170" s="75"/>
      <x:c r="G170" s="75"/>
      <x:c r="H170" s="75"/>
      <x:c r="I170" s="75"/>
      <x:c r="J170" s="75"/>
      <x:c r="K170" s="75"/>
      <x:c r="L170" s="75"/>
      <x:c r="M170" s="75"/>
      <x:c r="N170" s="75"/>
      <x:c r="O170" s="75"/>
      <x:c r="P170" s="75"/>
      <x:c r="Q170" s="75"/>
      <x:c r="R170" s="75"/>
      <x:c r="S170" s="75"/>
      <x:c r="T170" s="75"/>
      <x:c r="U170" s="75"/>
      <x:c r="V170" s="75"/>
      <x:c r="W170" s="75"/>
      <x:c r="X170" s="75"/>
      <x:c r="Y170" s="75"/>
      <x:c r="Z170" s="75"/>
    </x:row>
    <x:row r="171">
      <x:c r="A171" s="75"/>
      <x:c r="B171" s="75"/>
      <x:c r="C171" s="75"/>
      <x:c r="D171" s="75"/>
      <x:c r="E171" s="75"/>
      <x:c r="F171" s="75"/>
      <x:c r="G171" s="75"/>
      <x:c r="H171" s="75"/>
      <x:c r="I171" s="75"/>
      <x:c r="J171" s="75"/>
      <x:c r="K171" s="75"/>
      <x:c r="L171" s="75"/>
      <x:c r="M171" s="75"/>
      <x:c r="N171" s="75"/>
      <x:c r="O171" s="75"/>
      <x:c r="P171" s="75"/>
      <x:c r="Q171" s="75"/>
      <x:c r="R171" s="75"/>
      <x:c r="S171" s="75"/>
      <x:c r="T171" s="75"/>
      <x:c r="U171" s="75"/>
      <x:c r="V171" s="75"/>
      <x:c r="W171" s="75"/>
      <x:c r="X171" s="75"/>
      <x:c r="Y171" s="75"/>
      <x:c r="Z171" s="75"/>
    </x:row>
    <x:row r="172">
      <x:c r="A172" s="75"/>
      <x:c r="B172" s="75"/>
      <x:c r="C172" s="75"/>
      <x:c r="D172" s="75"/>
      <x:c r="E172" s="75"/>
      <x:c r="F172" s="75"/>
      <x:c r="G172" s="75"/>
      <x:c r="H172" s="75"/>
      <x:c r="I172" s="75"/>
      <x:c r="J172" s="75"/>
      <x:c r="K172" s="75"/>
      <x:c r="L172" s="75"/>
      <x:c r="M172" s="75"/>
      <x:c r="N172" s="75"/>
      <x:c r="O172" s="75"/>
      <x:c r="P172" s="75"/>
      <x:c r="Q172" s="75"/>
      <x:c r="R172" s="75"/>
      <x:c r="S172" s="75"/>
      <x:c r="T172" s="75"/>
      <x:c r="U172" s="75"/>
      <x:c r="V172" s="75"/>
      <x:c r="W172" s="75"/>
      <x:c r="X172" s="75"/>
      <x:c r="Y172" s="75"/>
      <x:c r="Z172" s="75"/>
    </x:row>
    <x:row r="173">
      <x:c r="A173" s="75"/>
      <x:c r="B173" s="75"/>
      <x:c r="C173" s="75"/>
      <x:c r="D173" s="75"/>
      <x:c r="E173" s="75"/>
      <x:c r="F173" s="75"/>
      <x:c r="G173" s="75"/>
      <x:c r="H173" s="75"/>
      <x:c r="I173" s="75"/>
      <x:c r="J173" s="75"/>
      <x:c r="K173" s="75"/>
      <x:c r="L173" s="75"/>
      <x:c r="M173" s="75"/>
      <x:c r="N173" s="75"/>
      <x:c r="O173" s="75"/>
      <x:c r="P173" s="75"/>
      <x:c r="Q173" s="75"/>
      <x:c r="R173" s="75"/>
      <x:c r="S173" s="75"/>
      <x:c r="T173" s="75"/>
      <x:c r="U173" s="75"/>
      <x:c r="V173" s="75"/>
      <x:c r="W173" s="75"/>
      <x:c r="X173" s="75"/>
      <x:c r="Y173" s="75"/>
      <x:c r="Z173" s="75"/>
    </x:row>
    <x:row r="174">
      <x:c r="A174" s="75"/>
      <x:c r="B174" s="75"/>
      <x:c r="C174" s="75"/>
      <x:c r="D174" s="75"/>
      <x:c r="E174" s="75"/>
      <x:c r="F174" s="75"/>
      <x:c r="G174" s="75"/>
      <x:c r="H174" s="75"/>
      <x:c r="I174" s="75"/>
      <x:c r="J174" s="75"/>
      <x:c r="K174" s="75"/>
      <x:c r="L174" s="75"/>
      <x:c r="M174" s="75"/>
      <x:c r="N174" s="75"/>
      <x:c r="O174" s="75"/>
      <x:c r="P174" s="75"/>
      <x:c r="Q174" s="75"/>
      <x:c r="R174" s="75"/>
      <x:c r="S174" s="75"/>
      <x:c r="T174" s="75"/>
      <x:c r="U174" s="75"/>
      <x:c r="V174" s="75"/>
      <x:c r="W174" s="75"/>
      <x:c r="X174" s="75"/>
      <x:c r="Y174" s="75"/>
      <x:c r="Z174" s="75"/>
    </x:row>
    <x:row r="175">
      <x:c r="A175" s="75"/>
      <x:c r="B175" s="75"/>
      <x:c r="C175" s="75"/>
      <x:c r="D175" s="75"/>
      <x:c r="E175" s="75"/>
      <x:c r="F175" s="75"/>
      <x:c r="G175" s="75"/>
      <x:c r="H175" s="75"/>
      <x:c r="I175" s="75"/>
      <x:c r="J175" s="75"/>
      <x:c r="K175" s="75"/>
      <x:c r="L175" s="75"/>
      <x:c r="M175" s="75"/>
      <x:c r="N175" s="75"/>
      <x:c r="O175" s="75"/>
      <x:c r="P175" s="75"/>
      <x:c r="Q175" s="75"/>
      <x:c r="R175" s="75"/>
      <x:c r="S175" s="75"/>
      <x:c r="T175" s="75"/>
      <x:c r="U175" s="75"/>
      <x:c r="V175" s="75"/>
      <x:c r="W175" s="75"/>
      <x:c r="X175" s="75"/>
      <x:c r="Y175" s="75"/>
      <x:c r="Z175" s="75"/>
    </x:row>
    <x:row r="176">
      <x:c r="A176" s="75"/>
      <x:c r="B176" s="75"/>
      <x:c r="C176" s="75"/>
      <x:c r="D176" s="75"/>
      <x:c r="E176" s="75"/>
      <x:c r="F176" s="75"/>
      <x:c r="G176" s="75"/>
      <x:c r="H176" s="75"/>
      <x:c r="I176" s="75"/>
      <x:c r="J176" s="75"/>
      <x:c r="K176" s="75"/>
      <x:c r="L176" s="75"/>
      <x:c r="M176" s="75"/>
      <x:c r="N176" s="75"/>
      <x:c r="O176" s="75"/>
      <x:c r="P176" s="75"/>
      <x:c r="Q176" s="75"/>
      <x:c r="R176" s="75"/>
      <x:c r="S176" s="75"/>
      <x:c r="T176" s="75"/>
      <x:c r="U176" s="75"/>
      <x:c r="V176" s="75"/>
      <x:c r="W176" s="75"/>
      <x:c r="X176" s="75"/>
      <x:c r="Y176" s="75"/>
      <x:c r="Z176" s="75"/>
    </x:row>
    <x:row r="177">
      <x:c r="A177" s="75"/>
      <x:c r="B177" s="75"/>
      <x:c r="C177" s="75"/>
      <x:c r="D177" s="75"/>
      <x:c r="E177" s="75"/>
      <x:c r="F177" s="75"/>
      <x:c r="G177" s="75"/>
      <x:c r="H177" s="75"/>
      <x:c r="I177" s="75"/>
      <x:c r="J177" s="75"/>
      <x:c r="K177" s="75"/>
      <x:c r="L177" s="75"/>
      <x:c r="M177" s="75"/>
      <x:c r="N177" s="75"/>
      <x:c r="O177" s="75"/>
      <x:c r="P177" s="75"/>
      <x:c r="Q177" s="75"/>
      <x:c r="R177" s="75"/>
      <x:c r="S177" s="75"/>
      <x:c r="T177" s="75"/>
      <x:c r="U177" s="75"/>
      <x:c r="V177" s="75"/>
      <x:c r="W177" s="75"/>
      <x:c r="X177" s="75"/>
      <x:c r="Y177" s="75"/>
      <x:c r="Z177" s="75"/>
    </x:row>
    <x:row r="178">
      <x:c r="A178" s="75"/>
      <x:c r="B178" s="75"/>
      <x:c r="C178" s="75"/>
      <x:c r="D178" s="75"/>
      <x:c r="E178" s="75"/>
      <x:c r="F178" s="75"/>
      <x:c r="G178" s="75"/>
      <x:c r="H178" s="75"/>
      <x:c r="I178" s="75"/>
      <x:c r="J178" s="75"/>
      <x:c r="K178" s="75"/>
      <x:c r="L178" s="75"/>
      <x:c r="M178" s="75"/>
      <x:c r="N178" s="75"/>
      <x:c r="O178" s="75"/>
      <x:c r="P178" s="75"/>
      <x:c r="Q178" s="75"/>
      <x:c r="R178" s="75"/>
      <x:c r="S178" s="75"/>
      <x:c r="T178" s="75"/>
      <x:c r="U178" s="75"/>
      <x:c r="V178" s="75"/>
      <x:c r="W178" s="75"/>
      <x:c r="X178" s="75"/>
      <x:c r="Y178" s="75"/>
      <x:c r="Z178" s="75"/>
    </x:row>
    <x:row r="179">
      <x:c r="A179" s="75"/>
      <x:c r="B179" s="75"/>
      <x:c r="C179" s="75"/>
      <x:c r="D179" s="75"/>
      <x:c r="E179" s="75"/>
      <x:c r="F179" s="75"/>
      <x:c r="G179" s="75"/>
      <x:c r="H179" s="75"/>
      <x:c r="I179" s="75"/>
      <x:c r="J179" s="75"/>
      <x:c r="K179" s="75"/>
      <x:c r="L179" s="75"/>
      <x:c r="M179" s="75"/>
      <x:c r="N179" s="75"/>
      <x:c r="O179" s="75"/>
      <x:c r="P179" s="75"/>
      <x:c r="Q179" s="75"/>
      <x:c r="R179" s="75"/>
      <x:c r="S179" s="75"/>
      <x:c r="T179" s="75"/>
      <x:c r="U179" s="75"/>
      <x:c r="V179" s="75"/>
      <x:c r="W179" s="75"/>
      <x:c r="X179" s="75"/>
      <x:c r="Y179" s="75"/>
      <x:c r="Z179" s="75"/>
    </x:row>
    <x:row r="180">
      <x:c r="A180" s="75"/>
      <x:c r="B180" s="75"/>
      <x:c r="C180" s="75"/>
      <x:c r="D180" s="75"/>
      <x:c r="E180" s="75"/>
      <x:c r="F180" s="75"/>
      <x:c r="G180" s="75"/>
      <x:c r="H180" s="75"/>
      <x:c r="I180" s="75"/>
      <x:c r="J180" s="75"/>
      <x:c r="K180" s="75"/>
      <x:c r="L180" s="75"/>
      <x:c r="M180" s="75"/>
      <x:c r="N180" s="75"/>
      <x:c r="O180" s="75"/>
      <x:c r="P180" s="75"/>
      <x:c r="Q180" s="75"/>
      <x:c r="R180" s="75"/>
      <x:c r="S180" s="75"/>
      <x:c r="T180" s="75"/>
      <x:c r="U180" s="75"/>
      <x:c r="V180" s="75"/>
      <x:c r="W180" s="75"/>
      <x:c r="X180" s="75"/>
      <x:c r="Y180" s="75"/>
      <x:c r="Z180" s="75"/>
    </x:row>
    <x:row r="181">
      <x:c r="A181" s="75"/>
      <x:c r="B181" s="75"/>
      <x:c r="C181" s="75"/>
      <x:c r="D181" s="75"/>
      <x:c r="E181" s="75"/>
      <x:c r="F181" s="75"/>
      <x:c r="G181" s="75"/>
      <x:c r="H181" s="75"/>
      <x:c r="I181" s="75"/>
      <x:c r="J181" s="75"/>
      <x:c r="K181" s="75"/>
      <x:c r="L181" s="75"/>
      <x:c r="M181" s="75"/>
      <x:c r="N181" s="75"/>
      <x:c r="O181" s="75"/>
      <x:c r="P181" s="75"/>
      <x:c r="Q181" s="75"/>
      <x:c r="R181" s="75"/>
      <x:c r="S181" s="75"/>
      <x:c r="T181" s="75"/>
      <x:c r="U181" s="75"/>
      <x:c r="V181" s="75"/>
      <x:c r="W181" s="75"/>
      <x:c r="X181" s="75"/>
      <x:c r="Y181" s="75"/>
      <x:c r="Z181" s="75"/>
    </x:row>
    <x:row r="182">
      <x:c r="A182" s="75"/>
      <x:c r="B182" s="75"/>
      <x:c r="C182" s="75"/>
      <x:c r="D182" s="75"/>
      <x:c r="E182" s="75"/>
      <x:c r="F182" s="75"/>
      <x:c r="G182" s="75"/>
      <x:c r="H182" s="75"/>
      <x:c r="I182" s="75"/>
      <x:c r="J182" s="75"/>
      <x:c r="K182" s="75"/>
      <x:c r="L182" s="75"/>
      <x:c r="M182" s="75"/>
      <x:c r="N182" s="75"/>
      <x:c r="O182" s="75"/>
      <x:c r="P182" s="75"/>
      <x:c r="Q182" s="75"/>
      <x:c r="R182" s="75"/>
      <x:c r="S182" s="75"/>
      <x:c r="T182" s="75"/>
      <x:c r="U182" s="75"/>
      <x:c r="V182" s="75"/>
      <x:c r="W182" s="75"/>
      <x:c r="X182" s="75"/>
      <x:c r="Y182" s="75"/>
      <x:c r="Z182" s="75"/>
    </x:row>
    <x:row r="183">
      <x:c r="A183" s="75"/>
      <x:c r="B183" s="75"/>
      <x:c r="C183" s="75"/>
      <x:c r="D183" s="75"/>
      <x:c r="E183" s="75"/>
      <x:c r="F183" s="75"/>
      <x:c r="G183" s="75"/>
      <x:c r="H183" s="75"/>
      <x:c r="I183" s="75"/>
      <x:c r="J183" s="75"/>
      <x:c r="K183" s="75"/>
      <x:c r="L183" s="75"/>
      <x:c r="M183" s="75"/>
      <x:c r="N183" s="75"/>
      <x:c r="O183" s="75"/>
      <x:c r="P183" s="75"/>
      <x:c r="Q183" s="75"/>
      <x:c r="R183" s="75"/>
      <x:c r="S183" s="75"/>
      <x:c r="T183" s="75"/>
      <x:c r="U183" s="75"/>
      <x:c r="V183" s="75"/>
      <x:c r="W183" s="75"/>
      <x:c r="X183" s="75"/>
      <x:c r="Y183" s="75"/>
      <x:c r="Z183" s="75"/>
    </x:row>
    <x:row r="184">
      <x:c r="A184" s="75"/>
      <x:c r="B184" s="75"/>
      <x:c r="C184" s="75"/>
      <x:c r="D184" s="75"/>
      <x:c r="E184" s="75"/>
      <x:c r="F184" s="75"/>
      <x:c r="G184" s="75"/>
      <x:c r="H184" s="75"/>
      <x:c r="I184" s="75"/>
      <x:c r="J184" s="75"/>
      <x:c r="K184" s="75"/>
      <x:c r="L184" s="75"/>
      <x:c r="M184" s="75"/>
      <x:c r="N184" s="75"/>
      <x:c r="O184" s="75"/>
      <x:c r="P184" s="75"/>
      <x:c r="Q184" s="75"/>
      <x:c r="R184" s="75"/>
      <x:c r="S184" s="75"/>
      <x:c r="T184" s="75"/>
      <x:c r="U184" s="75"/>
      <x:c r="V184" s="75"/>
      <x:c r="W184" s="75"/>
      <x:c r="X184" s="75"/>
      <x:c r="Y184" s="75"/>
      <x:c r="Z184" s="75"/>
    </x:row>
    <x:row r="185">
      <x:c r="A185" s="75"/>
      <x:c r="B185" s="75"/>
      <x:c r="C185" s="75"/>
      <x:c r="D185" s="75"/>
      <x:c r="E185" s="75"/>
      <x:c r="F185" s="75"/>
      <x:c r="G185" s="75"/>
      <x:c r="H185" s="75"/>
      <x:c r="I185" s="75"/>
      <x:c r="J185" s="75"/>
      <x:c r="K185" s="75"/>
      <x:c r="L185" s="75"/>
      <x:c r="M185" s="75"/>
      <x:c r="N185" s="75"/>
      <x:c r="O185" s="75"/>
      <x:c r="P185" s="75"/>
      <x:c r="Q185" s="75"/>
      <x:c r="R185" s="75"/>
      <x:c r="S185" s="75"/>
      <x:c r="T185" s="75"/>
      <x:c r="U185" s="75"/>
      <x:c r="V185" s="75"/>
      <x:c r="W185" s="75"/>
      <x:c r="X185" s="75"/>
      <x:c r="Y185" s="75"/>
      <x:c r="Z185" s="75"/>
    </x:row>
    <x:row r="186">
      <x:c r="A186" s="75"/>
      <x:c r="B186" s="75"/>
      <x:c r="C186" s="75"/>
      <x:c r="D186" s="75"/>
      <x:c r="E186" s="75"/>
      <x:c r="F186" s="75"/>
      <x:c r="G186" s="75"/>
      <x:c r="H186" s="75"/>
      <x:c r="I186" s="75"/>
      <x:c r="J186" s="75"/>
      <x:c r="K186" s="75"/>
      <x:c r="L186" s="75"/>
      <x:c r="M186" s="75"/>
      <x:c r="N186" s="75"/>
      <x:c r="O186" s="75"/>
      <x:c r="P186" s="75"/>
      <x:c r="Q186" s="75"/>
      <x:c r="R186" s="75"/>
      <x:c r="S186" s="75"/>
      <x:c r="T186" s="75"/>
      <x:c r="U186" s="75"/>
      <x:c r="V186" s="75"/>
      <x:c r="W186" s="75"/>
      <x:c r="X186" s="75"/>
      <x:c r="Y186" s="75"/>
      <x:c r="Z186" s="75"/>
    </x:row>
    <x:row r="187">
      <x:c r="A187" s="75"/>
      <x:c r="B187" s="75"/>
      <x:c r="C187" s="75"/>
      <x:c r="D187" s="75"/>
      <x:c r="E187" s="75"/>
      <x:c r="F187" s="75"/>
      <x:c r="G187" s="75"/>
      <x:c r="H187" s="75"/>
      <x:c r="I187" s="75"/>
      <x:c r="J187" s="75"/>
      <x:c r="K187" s="75"/>
      <x:c r="L187" s="75"/>
      <x:c r="M187" s="75"/>
      <x:c r="N187" s="75"/>
      <x:c r="O187" s="75"/>
      <x:c r="P187" s="75"/>
      <x:c r="Q187" s="75"/>
      <x:c r="R187" s="75"/>
      <x:c r="S187" s="75"/>
      <x:c r="T187" s="75"/>
      <x:c r="U187" s="75"/>
      <x:c r="V187" s="75"/>
      <x:c r="W187" s="75"/>
      <x:c r="X187" s="75"/>
      <x:c r="Y187" s="75"/>
      <x:c r="Z187" s="75"/>
    </x:row>
    <x:row r="188">
      <x:c r="A188" s="75"/>
      <x:c r="B188" s="75"/>
      <x:c r="C188" s="75"/>
      <x:c r="D188" s="75"/>
      <x:c r="E188" s="75"/>
      <x:c r="F188" s="75"/>
      <x:c r="G188" s="75"/>
      <x:c r="H188" s="75"/>
      <x:c r="I188" s="75"/>
      <x:c r="J188" s="75"/>
      <x:c r="K188" s="75"/>
      <x:c r="L188" s="75"/>
      <x:c r="M188" s="75"/>
      <x:c r="N188" s="75"/>
      <x:c r="O188" s="75"/>
      <x:c r="P188" s="75"/>
      <x:c r="Q188" s="75"/>
      <x:c r="R188" s="75"/>
      <x:c r="S188" s="75"/>
      <x:c r="T188" s="75"/>
      <x:c r="U188" s="75"/>
      <x:c r="V188" s="75"/>
      <x:c r="W188" s="75"/>
      <x:c r="X188" s="75"/>
      <x:c r="Y188" s="75"/>
      <x:c r="Z188" s="75"/>
    </x:row>
    <x:row r="189">
      <x:c r="A189" s="75"/>
      <x:c r="B189" s="75"/>
      <x:c r="C189" s="75"/>
      <x:c r="D189" s="75"/>
      <x:c r="E189" s="75"/>
      <x:c r="F189" s="75"/>
      <x:c r="G189" s="75"/>
      <x:c r="H189" s="75"/>
      <x:c r="I189" s="75"/>
      <x:c r="J189" s="75"/>
      <x:c r="K189" s="75"/>
      <x:c r="L189" s="75"/>
      <x:c r="M189" s="75"/>
      <x:c r="N189" s="75"/>
      <x:c r="O189" s="75"/>
      <x:c r="P189" s="75"/>
      <x:c r="Q189" s="75"/>
      <x:c r="R189" s="75"/>
      <x:c r="S189" s="75"/>
      <x:c r="T189" s="75"/>
      <x:c r="U189" s="75"/>
      <x:c r="V189" s="75"/>
      <x:c r="W189" s="75"/>
      <x:c r="X189" s="75"/>
      <x:c r="Y189" s="75"/>
      <x:c r="Z189" s="75"/>
    </x:row>
    <x:row r="190">
      <x:c r="A190" s="75"/>
      <x:c r="B190" s="75"/>
      <x:c r="C190" s="75"/>
      <x:c r="D190" s="75"/>
      <x:c r="E190" s="75"/>
      <x:c r="F190" s="75"/>
      <x:c r="G190" s="75"/>
      <x:c r="H190" s="75"/>
      <x:c r="I190" s="75"/>
      <x:c r="J190" s="75"/>
      <x:c r="K190" s="75"/>
      <x:c r="L190" s="75"/>
      <x:c r="M190" s="75"/>
      <x:c r="N190" s="75"/>
      <x:c r="O190" s="75"/>
      <x:c r="P190" s="75"/>
      <x:c r="Q190" s="75"/>
      <x:c r="R190" s="75"/>
      <x:c r="S190" s="75"/>
      <x:c r="T190" s="75"/>
      <x:c r="U190" s="75"/>
      <x:c r="V190" s="75"/>
      <x:c r="W190" s="75"/>
      <x:c r="X190" s="75"/>
      <x:c r="Y190" s="75"/>
      <x:c r="Z190" s="75"/>
    </x:row>
    <x:row r="191">
      <x:c r="A191" s="75"/>
      <x:c r="B191" s="75"/>
      <x:c r="C191" s="75"/>
      <x:c r="D191" s="75"/>
      <x:c r="E191" s="75"/>
      <x:c r="F191" s="75"/>
      <x:c r="G191" s="75"/>
      <x:c r="H191" s="75"/>
      <x:c r="I191" s="75"/>
      <x:c r="J191" s="75"/>
      <x:c r="K191" s="75"/>
      <x:c r="L191" s="75"/>
      <x:c r="M191" s="75"/>
      <x:c r="N191" s="75"/>
      <x:c r="O191" s="75"/>
      <x:c r="P191" s="75"/>
      <x:c r="Q191" s="75"/>
      <x:c r="R191" s="75"/>
      <x:c r="S191" s="75"/>
      <x:c r="T191" s="75"/>
      <x:c r="U191" s="75"/>
      <x:c r="V191" s="75"/>
      <x:c r="W191" s="75"/>
      <x:c r="X191" s="75"/>
      <x:c r="Y191" s="75"/>
      <x:c r="Z191" s="75"/>
    </x:row>
    <x:row r="192">
      <x:c r="A192" s="75"/>
      <x:c r="B192" s="75"/>
      <x:c r="C192" s="75"/>
      <x:c r="D192" s="75"/>
      <x:c r="E192" s="75"/>
      <x:c r="F192" s="75"/>
      <x:c r="G192" s="75"/>
      <x:c r="H192" s="75"/>
      <x:c r="I192" s="75"/>
      <x:c r="J192" s="75"/>
      <x:c r="K192" s="75"/>
      <x:c r="L192" s="75"/>
      <x:c r="M192" s="75"/>
      <x:c r="N192" s="75"/>
      <x:c r="O192" s="75"/>
      <x:c r="P192" s="75"/>
      <x:c r="Q192" s="75"/>
      <x:c r="R192" s="75"/>
      <x:c r="S192" s="75"/>
      <x:c r="T192" s="75"/>
      <x:c r="U192" s="75"/>
      <x:c r="V192" s="75"/>
      <x:c r="W192" s="75"/>
      <x:c r="X192" s="75"/>
      <x:c r="Y192" s="75"/>
      <x:c r="Z192" s="75"/>
    </x:row>
    <x:row r="193">
      <x:c r="A193" s="75"/>
      <x:c r="B193" s="75"/>
      <x:c r="C193" s="75"/>
      <x:c r="D193" s="75"/>
      <x:c r="E193" s="75"/>
      <x:c r="F193" s="75"/>
      <x:c r="G193" s="75"/>
      <x:c r="H193" s="75"/>
      <x:c r="I193" s="75"/>
      <x:c r="J193" s="75"/>
      <x:c r="K193" s="75"/>
      <x:c r="L193" s="75"/>
      <x:c r="M193" s="75"/>
      <x:c r="N193" s="75"/>
      <x:c r="O193" s="75"/>
      <x:c r="P193" s="75"/>
      <x:c r="Q193" s="75"/>
      <x:c r="R193" s="75"/>
      <x:c r="S193" s="75"/>
      <x:c r="T193" s="75"/>
      <x:c r="U193" s="75"/>
      <x:c r="V193" s="75"/>
      <x:c r="W193" s="75"/>
      <x:c r="X193" s="75"/>
      <x:c r="Y193" s="75"/>
      <x:c r="Z193" s="75"/>
    </x:row>
    <x:row r="194">
      <x:c r="A194" s="75"/>
      <x:c r="B194" s="75"/>
      <x:c r="C194" s="75"/>
      <x:c r="D194" s="75"/>
      <x:c r="E194" s="75"/>
      <x:c r="F194" s="75"/>
      <x:c r="G194" s="75"/>
      <x:c r="H194" s="75"/>
      <x:c r="I194" s="75"/>
      <x:c r="J194" s="75"/>
      <x:c r="K194" s="75"/>
      <x:c r="L194" s="75"/>
      <x:c r="M194" s="75"/>
      <x:c r="N194" s="75"/>
      <x:c r="O194" s="75"/>
      <x:c r="P194" s="75"/>
      <x:c r="Q194" s="75"/>
      <x:c r="R194" s="75"/>
      <x:c r="S194" s="75"/>
      <x:c r="T194" s="75"/>
      <x:c r="U194" s="75"/>
      <x:c r="V194" s="75"/>
      <x:c r="W194" s="75"/>
      <x:c r="X194" s="75"/>
      <x:c r="Y194" s="75"/>
      <x:c r="Z194" s="75"/>
    </x:row>
    <x:row r="195">
      <x:c r="A195" s="75"/>
      <x:c r="B195" s="75"/>
      <x:c r="C195" s="75"/>
      <x:c r="D195" s="75"/>
      <x:c r="E195" s="75"/>
      <x:c r="F195" s="75"/>
      <x:c r="G195" s="75"/>
      <x:c r="H195" s="75"/>
      <x:c r="I195" s="75"/>
      <x:c r="J195" s="75"/>
      <x:c r="K195" s="75"/>
      <x:c r="L195" s="75"/>
      <x:c r="M195" s="75"/>
      <x:c r="N195" s="75"/>
      <x:c r="O195" s="75"/>
      <x:c r="P195" s="75"/>
      <x:c r="Q195" s="75"/>
      <x:c r="R195" s="75"/>
      <x:c r="S195" s="75"/>
      <x:c r="T195" s="75"/>
      <x:c r="U195" s="75"/>
      <x:c r="V195" s="75"/>
      <x:c r="W195" s="75"/>
      <x:c r="X195" s="75"/>
      <x:c r="Y195" s="75"/>
      <x:c r="Z195" s="75"/>
    </x:row>
    <x:row r="196">
      <x:c r="A196" s="75"/>
      <x:c r="B196" s="75"/>
      <x:c r="C196" s="75"/>
      <x:c r="D196" s="75"/>
      <x:c r="E196" s="75"/>
      <x:c r="F196" s="75"/>
      <x:c r="G196" s="75"/>
      <x:c r="H196" s="75"/>
      <x:c r="I196" s="75"/>
      <x:c r="J196" s="75"/>
      <x:c r="K196" s="75"/>
      <x:c r="L196" s="75"/>
      <x:c r="M196" s="75"/>
      <x:c r="N196" s="75"/>
      <x:c r="O196" s="75"/>
      <x:c r="P196" s="75"/>
      <x:c r="Q196" s="75"/>
      <x:c r="R196" s="75"/>
      <x:c r="S196" s="75"/>
      <x:c r="T196" s="75"/>
      <x:c r="U196" s="75"/>
      <x:c r="V196" s="75"/>
      <x:c r="W196" s="75"/>
      <x:c r="X196" s="75"/>
      <x:c r="Y196" s="75"/>
      <x:c r="Z196" s="75"/>
    </x:row>
    <x:row r="197">
      <x:c r="A197" s="75"/>
      <x:c r="B197" s="75"/>
      <x:c r="C197" s="75"/>
      <x:c r="D197" s="75"/>
      <x:c r="E197" s="75"/>
      <x:c r="F197" s="75"/>
      <x:c r="G197" s="75"/>
      <x:c r="H197" s="75"/>
      <x:c r="I197" s="75"/>
      <x:c r="J197" s="75"/>
      <x:c r="K197" s="75"/>
      <x:c r="L197" s="75"/>
      <x:c r="M197" s="75"/>
      <x:c r="N197" s="75"/>
      <x:c r="O197" s="75"/>
      <x:c r="P197" s="75"/>
      <x:c r="Q197" s="75"/>
      <x:c r="R197" s="75"/>
      <x:c r="S197" s="75"/>
      <x:c r="T197" s="75"/>
      <x:c r="U197" s="75"/>
      <x:c r="V197" s="75"/>
      <x:c r="W197" s="75"/>
      <x:c r="X197" s="75"/>
      <x:c r="Y197" s="75"/>
      <x:c r="Z197" s="75"/>
    </x:row>
    <x:row r="198">
      <x:c r="A198" s="75"/>
      <x:c r="B198" s="75"/>
      <x:c r="C198" s="75"/>
      <x:c r="D198" s="75"/>
      <x:c r="E198" s="75"/>
      <x:c r="F198" s="75"/>
      <x:c r="G198" s="75"/>
      <x:c r="H198" s="75"/>
      <x:c r="I198" s="75"/>
      <x:c r="J198" s="75"/>
      <x:c r="K198" s="75"/>
      <x:c r="L198" s="75"/>
      <x:c r="M198" s="75"/>
      <x:c r="N198" s="75"/>
      <x:c r="O198" s="75"/>
      <x:c r="P198" s="75"/>
      <x:c r="Q198" s="75"/>
      <x:c r="R198" s="75"/>
      <x:c r="S198" s="75"/>
      <x:c r="T198" s="75"/>
      <x:c r="U198" s="75"/>
      <x:c r="V198" s="75"/>
      <x:c r="W198" s="75"/>
      <x:c r="X198" s="75"/>
      <x:c r="Y198" s="75"/>
      <x:c r="Z198" s="75"/>
    </x:row>
    <x:row r="199">
      <x:c r="A199" s="75"/>
      <x:c r="B199" s="75"/>
      <x:c r="C199" s="75"/>
      <x:c r="D199" s="75"/>
      <x:c r="E199" s="75"/>
      <x:c r="F199" s="75"/>
      <x:c r="G199" s="75"/>
      <x:c r="H199" s="75"/>
      <x:c r="I199" s="75"/>
      <x:c r="J199" s="75"/>
      <x:c r="K199" s="75"/>
      <x:c r="L199" s="75"/>
      <x:c r="M199" s="75"/>
      <x:c r="N199" s="75"/>
      <x:c r="O199" s="75"/>
      <x:c r="P199" s="75"/>
      <x:c r="Q199" s="75"/>
      <x:c r="R199" s="75"/>
      <x:c r="S199" s="75"/>
      <x:c r="T199" s="75"/>
      <x:c r="U199" s="75"/>
      <x:c r="V199" s="75"/>
      <x:c r="W199" s="75"/>
      <x:c r="X199" s="75"/>
      <x:c r="Y199" s="75"/>
      <x:c r="Z199" s="75"/>
    </x:row>
    <x:row r="200">
      <x:c r="A200" s="75"/>
      <x:c r="B200" s="75"/>
      <x:c r="C200" s="75"/>
      <x:c r="D200" s="75"/>
      <x:c r="E200" s="75"/>
      <x:c r="F200" s="75"/>
      <x:c r="G200" s="75"/>
      <x:c r="H200" s="75"/>
      <x:c r="I200" s="75"/>
      <x:c r="J200" s="75"/>
      <x:c r="K200" s="75"/>
      <x:c r="L200" s="75"/>
      <x:c r="M200" s="75"/>
      <x:c r="N200" s="75"/>
      <x:c r="O200" s="75"/>
      <x:c r="P200" s="75"/>
      <x:c r="Q200" s="75"/>
      <x:c r="R200" s="75"/>
      <x:c r="S200" s="75"/>
      <x:c r="T200" s="75"/>
      <x:c r="U200" s="75"/>
      <x:c r="V200" s="75"/>
      <x:c r="W200" s="75"/>
      <x:c r="X200" s="75"/>
      <x:c r="Y200" s="75"/>
      <x:c r="Z200" s="75"/>
    </x:row>
  </x:sheetData>
  <x:mergeCells>
    <x:mergeCell ref="A1:I2"/>
  </x:mergeCells>
  <x:conditionalFormatting sqref="F5:F22">
    <x:cfRule type="expression" dxfId="11" priority="1">
      <x:formula>F5="Accepted"</x:formula>
    </x:cfRule>
    <x:cfRule type="expression" dxfId="12" priority="2">
      <x:formula>F5="In progress"</x:formula>
    </x:cfRule>
    <x:cfRule type="expression" dxfId="13" priority="3">
      <x:formula>F5="Rejected"</x:formula>
    </x:cfRule>
  </x:conditionalFormatting>
  <x:dataValidations count="2">
    <x:dataValidation type="list" sqref="F5:F22">
      <x:formula1>Lists!$C$2:$C$8</x:formula1>
    </x:dataValidation>
    <x:dataValidation type="list" sqref="F22:F24">
      <x:formula1>Lists!$C$2:$C$8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6ae5ce90dc45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26" hidden="0" customWidth="1"/>
    <x:col min="4" max="4" width="24" hidden="0" customWidth="1"/>
    <x:col min="5" max="5" width="22" hidden="0" customWidth="1"/>
    <x:col min="6" max="6" width="34" hidden="0" customWidth="1"/>
  </x:cols>
  <x:sheetData>
    <x:row r="1">
      <x:c r="A1" s="94" t="str">
        <x:v>Owners &amp; Governance — assign actual names before V3.0 release</x:v>
      </x:c>
      <x:c r="B1" s="94"/>
      <x:c r="C1" s="94"/>
      <x:c r="D1" s="94"/>
      <x:c r="E1" s="94"/>
      <x:c r="F1" s="9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94"/>
      <x:c r="B2" s="94"/>
      <x:c r="C2" s="94"/>
      <x:c r="D2" s="94"/>
      <x:c r="E2" s="94"/>
      <x:c r="F2" s="94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  <x:c r="S3" s="75"/>
      <x:c r="T3" s="75"/>
      <x:c r="U3" s="75"/>
      <x:c r="V3" s="75"/>
      <x:c r="W3" s="75"/>
      <x:c r="X3" s="75"/>
      <x:c r="Y3" s="75"/>
      <x:c r="Z3" s="75"/>
    </x:row>
    <x:row r="4">
      <x:c r="A4" s="96" t="str">
        <x:v>Role</x:v>
      </x:c>
      <x:c r="B4" s="96" t="str">
        <x:v>Recommended Responsibility</x:v>
      </x:c>
      <x:c r="C4" s="96" t="str">
        <x:v>Actual Name / Role Holder</x:v>
      </x:c>
      <x:c r="D4" s="96" t="str">
        <x:v>Decision Authority</x:v>
      </x:c>
      <x:c r="E4" s="96" t="str">
        <x:v>Backup / Delegate</x:v>
      </x:c>
      <x:c r="F4" s="96" t="str">
        <x:v>Notes</x:v>
      </x:c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50" customHeight="1">
      <x:c r="A5" s="97" t="str">
        <x:v>Brand Owner</x:v>
      </x:c>
      <x:c r="B5" s="97" t="str">
        <x:v>Final authority over strategy, architecture, master brand changes and V3.0 release.</x:v>
      </x:c>
      <x:c r="C5" s="97" t="str">
        <x:v>TBD — appoint named Brand Owner before final release</x:v>
      </x:c>
      <x:c r="D5" s="97" t="str">
        <x:v>Final approval / escalation</x:v>
      </x:c>
      <x:c r="E5" s="97" t="str"/>
      <x:c r="F5" s="97" t="str">
        <x:v>Role definition approved; actual named holder must be recorded before AC20 final release authorization.</x:v>
      </x:c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50" customHeight="1">
      <x:c r="A6" s="97" t="str">
        <x:v>Design Custodian</x:v>
      </x:c>
      <x:c r="B6" s="97" t="str">
        <x:v>Master artwork, templates, visual applications, asset integrity and deviations.</x:v>
      </x:c>
      <x:c r="C6" s="97" t="str">
        <x:v>TBD — appoint named Design Custodian before final release</x:v>
      </x:c>
      <x:c r="D6" s="97" t="str">
        <x:v>Design approval</x:v>
      </x:c>
      <x:c r="E6" s="97" t="str"/>
      <x:c r="F6" s="97" t="str">
        <x:v>Role definition approved; actual named holder must be recorded before AC20 final release authorization.</x:v>
      </x:c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50" customHeight="1">
      <x:c r="A7" s="97" t="str">
        <x:v>Commercial Lead</x:v>
      </x:c>
      <x:c r="B7" s="97" t="str">
        <x:v>Buyer, offer scope, territories, service claims and commercial proof.</x:v>
      </x:c>
      <x:c r="C7" s="97" t="str">
        <x:v>TBD — appoint named Commercial Lead before final release</x:v>
      </x:c>
      <x:c r="D7" s="97" t="str">
        <x:v>Commercial approval</x:v>
      </x:c>
      <x:c r="E7" s="97" t="str"/>
      <x:c r="F7" s="97" t="str">
        <x:v>Role definition approved; actual named holder must be recorded before AC20 final release authorization.</x:v>
      </x:c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50" customHeight="1">
      <x:c r="A8" s="97" t="str">
        <x:v>Product / Amenities Lead</x:v>
      </x:c>
      <x:c r="B8" s="97" t="str">
        <x:v>Product range, SKU data, formulation/product evidence and packaging requirements.</x:v>
      </x:c>
      <x:c r="C8" s="97" t="str">
        <x:v>TBD — appoint named Product / Amenities Lead before final release</x:v>
      </x:c>
      <x:c r="D8" s="97" t="str">
        <x:v>Product approval</x:v>
      </x:c>
      <x:c r="E8" s="97" t="str"/>
      <x:c r="F8" s="97" t="str">
        <x:v>Role definition approved; actual named holder must be recorded before AC20 final release authorization.</x:v>
      </x:c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50" customHeight="1">
      <x:c r="A9" s="97" t="str">
        <x:v>Procurement / Supplier QA</x:v>
      </x:c>
      <x:c r="B9" s="97" t="str">
        <x:v>Dielines, materials, proofs, tolerances, supplier acceptance and manufacturing evidence.</x:v>
      </x:c>
      <x:c r="C9" s="97" t="str">
        <x:v>TBD — appoint named Procurement / Supplier QA before final release</x:v>
      </x:c>
      <x:c r="D9" s="97" t="str">
        <x:v>Production acceptance</x:v>
      </x:c>
      <x:c r="E9" s="97" t="str"/>
      <x:c r="F9" s="97" t="str">
        <x:v>Role definition approved; actual named holder must be recorded before AC20 final release authorization.</x:v>
      </x:c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50" customHeight="1">
      <x:c r="A10" s="97" t="str">
        <x:v>Digital Design Lead</x:v>
      </x:c>
      <x:c r="B10" s="97" t="str">
        <x:v>Semantic tokens, UI rules, components, responsive behavior and digital brand QA.</x:v>
      </x:c>
      <x:c r="C10" s="97" t="str">
        <x:v>TBD — appoint named Digital Design Lead before final release</x:v>
      </x:c>
      <x:c r="D10" s="97" t="str">
        <x:v>Digital design approval</x:v>
      </x:c>
      <x:c r="E10" s="97" t="str"/>
      <x:c r="F10" s="97" t="str">
        <x:v>Role definition approved; actual named holder must be recorded before AC20 final release authorization.</x:v>
      </x:c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50" customHeight="1">
      <x:c r="A11" s="97" t="str">
        <x:v>Engineering Lead</x:v>
      </x:c>
      <x:c r="B11" s="97" t="str">
        <x:v>Implementation behavior, accessibility mechanics, localization and release QA.</x:v>
      </x:c>
      <x:c r="C11" s="97" t="str">
        <x:v>TBD — appoint named Engineering Lead before final release</x:v>
      </x:c>
      <x:c r="D11" s="97" t="str">
        <x:v>Technical approval</x:v>
      </x:c>
      <x:c r="E11" s="97" t="str"/>
      <x:c r="F11" s="97" t="str">
        <x:v>Role definition approved; actual named holder must be recorded before AC20 final release authorization.</x:v>
      </x:c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50" customHeight="1">
      <x:c r="A12" s="97" t="str">
        <x:v>Arabic / Localization Lead</x:v>
      </x:c>
      <x:c r="B12" s="97" t="str">
        <x:v>Arabic copy, RTL behavior, mixed-language rules and localization QA.</x:v>
      </x:c>
      <x:c r="C12" s="97" t="str">
        <x:v>TBD — appoint named Arabic / Localization Lead before final release</x:v>
      </x:c>
      <x:c r="D12" s="97" t="str">
        <x:v>Localization approval</x:v>
      </x:c>
      <x:c r="E12" s="97" t="str"/>
      <x:c r="F12" s="97" t="str">
        <x:v>Role definition approved; actual named holder must be recorded before AC20 final release authorization.</x:v>
      </x:c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50" customHeight="1">
      <x:c r="A13" s="97" t="str">
        <x:v>Accessibility QA</x:v>
      </x:c>
      <x:c r="B13" s="97" t="str">
        <x:v>WCAG/document/physical accessibility verification and exception review.</x:v>
      </x:c>
      <x:c r="C13" s="97" t="str">
        <x:v>TBD — appoint named Accessibility QA before final release</x:v>
      </x:c>
      <x:c r="D13" s="97" t="str">
        <x:v>Accessibility acceptance</x:v>
      </x:c>
      <x:c r="E13" s="97" t="str"/>
      <x:c r="F13" s="97" t="str">
        <x:v>Role definition approved; actual named holder must be recorded before AC20 final release authorization.</x:v>
      </x:c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50" customHeight="1">
      <x:c r="A14" s="97" t="str">
        <x:v>Legal / IP Counsel</x:v>
      </x:c>
      <x:c r="B14" s="97" t="str">
        <x:v>Trademark, artwork/font/image rights, claims/regulatory review where applicable.</x:v>
      </x:c>
      <x:c r="C14" s="97" t="str">
        <x:v>TBD — appoint named Legal / IP Counsel before final release</x:v>
      </x:c>
      <x:c r="D14" s="97" t="str">
        <x:v>Legal clearance</x:v>
      </x:c>
      <x:c r="E14" s="97" t="str"/>
      <x:c r="F14" s="97" t="str">
        <x:v>Role definition approved; actual named holder must be recorded before AC20 final release authorization.</x:v>
      </x:c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50" customHeight="1">
      <x:c r="A15" s="97" t="str">
        <x:v>Presentation / Document QA</x:v>
      </x:c>
      <x:c r="B15" s="97" t="str">
        <x:v>PowerPoint/PDF integrity, accessibility metadata, layout and export verification.</x:v>
      </x:c>
      <x:c r="C15" s="97" t="str">
        <x:v>TBD — appoint named Presentation / Document QA before final release</x:v>
      </x:c>
      <x:c r="D15" s="97" t="str">
        <x:v>Document QA</x:v>
      </x:c>
      <x:c r="E15" s="97" t="str"/>
      <x:c r="F15" s="97" t="str">
        <x:v>Role definition approved; actual named holder must be recorded before AC20 final release authorization.</x:v>
      </x:c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50" customHeight="1">
      <x:c r="A16" s="97" t="str">
        <x:v>Asset Librarian / Governance PM</x:v>
      </x:c>
      <x:c r="B16" s="97" t="str">
        <x:v>Release archive, manifest, versioning, approvals register and review cycle.</x:v>
      </x:c>
      <x:c r="C16" s="97" t="str">
        <x:v>TBD — appoint named Asset Librarian / Governance PM before final release</x:v>
      </x:c>
      <x:c r="D16" s="97" t="str">
        <x:v>Governance control</x:v>
      </x:c>
      <x:c r="E16" s="97" t="str"/>
      <x:c r="F16" s="97" t="str">
        <x:v>Role definition approved; actual named holder must be recorded before AC20 final release authorization.</x:v>
      </x:c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A17" s="75"/>
      <x:c r="B17" s="75"/>
      <x:c r="C17" s="75"/>
      <x:c r="D17" s="75"/>
      <x:c r="E17" s="75"/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A18" s="75"/>
      <x:c r="B18" s="75"/>
      <x:c r="C18" s="75"/>
      <x:c r="D18" s="75"/>
      <x:c r="E18" s="75"/>
      <x:c r="F18" s="75"/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A19" s="75"/>
      <x:c r="B19" s="75"/>
      <x:c r="C19" s="75"/>
      <x:c r="D19" s="75"/>
      <x:c r="E19" s="75"/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A20" s="75"/>
      <x:c r="B20" s="75"/>
      <x:c r="C20" s="75"/>
      <x:c r="D20" s="75"/>
      <x:c r="E20" s="75"/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A21" s="75"/>
      <x:c r="B21" s="75"/>
      <x:c r="C21" s="75"/>
      <x:c r="D21" s="75"/>
      <x:c r="E21" s="75"/>
      <x:c r="F21" s="75"/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A22" s="75"/>
      <x:c r="B22" s="75"/>
      <x:c r="C22" s="75"/>
      <x:c r="D22" s="75"/>
      <x:c r="E22" s="75"/>
      <x:c r="F22" s="75"/>
      <x:c r="G22" s="75"/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A23" s="75"/>
      <x:c r="B23" s="75"/>
      <x:c r="C23" s="75"/>
      <x:c r="D23" s="75"/>
      <x:c r="E23" s="75"/>
      <x:c r="F23" s="75"/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A24" s="75"/>
      <x:c r="B24" s="75"/>
      <x:c r="C24" s="75"/>
      <x:c r="D24" s="75"/>
      <x:c r="E24" s="75"/>
      <x:c r="F24" s="75"/>
      <x:c r="G24" s="75"/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A25" s="75"/>
      <x:c r="B25" s="75"/>
      <x:c r="C25" s="75"/>
      <x:c r="D25" s="75"/>
      <x:c r="E25" s="75"/>
      <x:c r="F25" s="75"/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A26" s="75"/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A27" s="75"/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A30" s="75"/>
      <x:c r="B30" s="75"/>
      <x:c r="C30" s="75"/>
      <x:c r="D30" s="75"/>
      <x:c r="E30" s="75"/>
      <x:c r="F30" s="75"/>
      <x:c r="G30" s="75"/>
      <x:c r="H30" s="75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A66" s="75"/>
      <x:c r="B66" s="75"/>
      <x:c r="C66" s="75"/>
      <x:c r="D66" s="75"/>
      <x:c r="E66" s="75"/>
      <x:c r="F66" s="75"/>
      <x:c r="G66" s="75"/>
      <x:c r="H66" s="75"/>
      <x:c r="I66" s="75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A67" s="75"/>
      <x:c r="B67" s="75"/>
      <x:c r="C67" s="75"/>
      <x:c r="D67" s="75"/>
      <x:c r="E67" s="75"/>
      <x:c r="F67" s="75"/>
      <x:c r="G67" s="75"/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A68" s="75"/>
      <x:c r="B68" s="75"/>
      <x:c r="C68" s="75"/>
      <x:c r="D68" s="75"/>
      <x:c r="E68" s="75"/>
      <x:c r="F68" s="75"/>
      <x:c r="G68" s="75"/>
      <x:c r="H68" s="75"/>
      <x:c r="I68" s="75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A69" s="75"/>
      <x:c r="B69" s="75"/>
      <x:c r="C69" s="75"/>
      <x:c r="D69" s="75"/>
      <x:c r="E69" s="75"/>
      <x:c r="F69" s="75"/>
      <x:c r="G69" s="75"/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A70" s="75"/>
      <x:c r="B70" s="75"/>
      <x:c r="C70" s="75"/>
      <x:c r="D70" s="75"/>
      <x:c r="E70" s="75"/>
      <x:c r="F70" s="75"/>
      <x:c r="G70" s="75"/>
      <x:c r="H70" s="75"/>
      <x:c r="I70" s="75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A71" s="75"/>
      <x:c r="B71" s="75"/>
      <x:c r="C71" s="75"/>
      <x:c r="D71" s="75"/>
      <x:c r="E71" s="75"/>
      <x:c r="F71" s="75"/>
      <x:c r="G71" s="75"/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A72" s="75"/>
      <x:c r="B72" s="75"/>
      <x:c r="C72" s="75"/>
      <x:c r="D72" s="75"/>
      <x:c r="E72" s="75"/>
      <x:c r="F72" s="75"/>
      <x:c r="G72" s="75"/>
      <x:c r="H72" s="75"/>
      <x:c r="I72" s="75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A73" s="75"/>
      <x:c r="B73" s="75"/>
      <x:c r="C73" s="75"/>
      <x:c r="D73" s="75"/>
      <x:c r="E73" s="75"/>
      <x:c r="F73" s="75"/>
      <x:c r="G73" s="75"/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A74" s="75"/>
      <x:c r="B74" s="75"/>
      <x:c r="C74" s="75"/>
      <x:c r="D74" s="75"/>
      <x:c r="E74" s="75"/>
      <x:c r="F74" s="75"/>
      <x:c r="G74" s="75"/>
      <x:c r="H74" s="75"/>
      <x:c r="I74" s="75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A75" s="75"/>
      <x:c r="B75" s="75"/>
      <x:c r="C75" s="75"/>
      <x:c r="D75" s="75"/>
      <x:c r="E75" s="75"/>
      <x:c r="F75" s="75"/>
      <x:c r="G75" s="75"/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A76" s="75"/>
      <x:c r="B76" s="75"/>
      <x:c r="C76" s="75"/>
      <x:c r="D76" s="75"/>
      <x:c r="E76" s="75"/>
      <x:c r="F76" s="75"/>
      <x:c r="G76" s="75"/>
      <x:c r="H76" s="75"/>
      <x:c r="I76" s="75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A77" s="75"/>
      <x:c r="B77" s="75"/>
      <x:c r="C77" s="75"/>
      <x:c r="D77" s="75"/>
      <x:c r="E77" s="75"/>
      <x:c r="F77" s="75"/>
      <x:c r="G77" s="75"/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A78" s="75"/>
      <x:c r="B78" s="75"/>
      <x:c r="C78" s="75"/>
      <x:c r="D78" s="75"/>
      <x:c r="E78" s="75"/>
      <x:c r="F78" s="75"/>
      <x:c r="G78" s="75"/>
      <x:c r="H78" s="75"/>
      <x:c r="I78" s="75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A79" s="75"/>
      <x:c r="B79" s="75"/>
      <x:c r="C79" s="75"/>
      <x:c r="D79" s="75"/>
      <x:c r="E79" s="75"/>
      <x:c r="F79" s="75"/>
      <x:c r="G79" s="75"/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A80" s="75"/>
      <x:c r="B80" s="75"/>
      <x:c r="C80" s="75"/>
      <x:c r="D80" s="75"/>
      <x:c r="E80" s="75"/>
      <x:c r="F80" s="75"/>
      <x:c r="G80" s="75"/>
      <x:c r="H80" s="75"/>
      <x:c r="I80" s="75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A81" s="75"/>
      <x:c r="B81" s="75"/>
      <x:c r="C81" s="75"/>
      <x:c r="D81" s="75"/>
      <x:c r="E81" s="75"/>
      <x:c r="F81" s="75"/>
      <x:c r="G81" s="75"/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A82" s="75"/>
      <x:c r="B82" s="75"/>
      <x:c r="C82" s="75"/>
      <x:c r="D82" s="75"/>
      <x:c r="E82" s="75"/>
      <x:c r="F82" s="75"/>
      <x:c r="G82" s="75"/>
      <x:c r="H82" s="75"/>
      <x:c r="I82" s="75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A83" s="75"/>
      <x:c r="B83" s="75"/>
      <x:c r="C83" s="75"/>
      <x:c r="D83" s="75"/>
      <x:c r="E83" s="75"/>
      <x:c r="F83" s="75"/>
      <x:c r="G83" s="75"/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A84" s="75"/>
      <x:c r="B84" s="75"/>
      <x:c r="C84" s="75"/>
      <x:c r="D84" s="75"/>
      <x:c r="E84" s="75"/>
      <x:c r="F84" s="75"/>
      <x:c r="G84" s="75"/>
      <x:c r="H84" s="75"/>
      <x:c r="I84" s="75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A85" s="75"/>
      <x:c r="B85" s="75"/>
      <x:c r="C85" s="75"/>
      <x:c r="D85" s="75"/>
      <x:c r="E85" s="75"/>
      <x:c r="F85" s="75"/>
      <x:c r="G85" s="75"/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A86" s="75"/>
      <x:c r="B86" s="75"/>
      <x:c r="C86" s="75"/>
      <x:c r="D86" s="75"/>
      <x:c r="E86" s="75"/>
      <x:c r="F86" s="75"/>
      <x:c r="G86" s="75"/>
      <x:c r="H86" s="75"/>
      <x:c r="I86" s="75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A87" s="75"/>
      <x:c r="B87" s="75"/>
      <x:c r="C87" s="75"/>
      <x:c r="D87" s="75"/>
      <x:c r="E87" s="75"/>
      <x:c r="F87" s="75"/>
      <x:c r="G87" s="75"/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A88" s="75"/>
      <x:c r="B88" s="75"/>
      <x:c r="C88" s="75"/>
      <x:c r="D88" s="75"/>
      <x:c r="E88" s="75"/>
      <x:c r="F88" s="75"/>
      <x:c r="G88" s="75"/>
      <x:c r="H88" s="75"/>
      <x:c r="I88" s="75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A89" s="75"/>
      <x:c r="B89" s="75"/>
      <x:c r="C89" s="75"/>
      <x:c r="D89" s="75"/>
      <x:c r="E89" s="75"/>
      <x:c r="F89" s="75"/>
      <x:c r="G89" s="75"/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A90" s="75"/>
      <x:c r="B90" s="75"/>
      <x:c r="C90" s="75"/>
      <x:c r="D90" s="75"/>
      <x:c r="E90" s="75"/>
      <x:c r="F90" s="75"/>
      <x:c r="G90" s="75"/>
      <x:c r="H90" s="75"/>
      <x:c r="I90" s="75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A91" s="75"/>
      <x:c r="B91" s="75"/>
      <x:c r="C91" s="75"/>
      <x:c r="D91" s="75"/>
      <x:c r="E91" s="75"/>
      <x:c r="F91" s="75"/>
      <x:c r="G91" s="75"/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A92" s="75"/>
      <x:c r="B92" s="75"/>
      <x:c r="C92" s="75"/>
      <x:c r="D92" s="75"/>
      <x:c r="E92" s="75"/>
      <x:c r="F92" s="75"/>
      <x:c r="G92" s="75"/>
      <x:c r="H92" s="75"/>
      <x:c r="I92" s="75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A93" s="75"/>
      <x:c r="B93" s="75"/>
      <x:c r="C93" s="75"/>
      <x:c r="D93" s="75"/>
      <x:c r="E93" s="75"/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A94" s="75"/>
      <x:c r="B94" s="75"/>
      <x:c r="C94" s="75"/>
      <x:c r="D94" s="75"/>
      <x:c r="E94" s="75"/>
      <x:c r="F94" s="75"/>
      <x:c r="G94" s="75"/>
      <x:c r="H94" s="75"/>
      <x:c r="I94" s="75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A95" s="75"/>
      <x:c r="B95" s="75"/>
      <x:c r="C95" s="75"/>
      <x:c r="D95" s="75"/>
      <x:c r="E95" s="75"/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A96" s="75"/>
      <x:c r="B96" s="75"/>
      <x:c r="C96" s="75"/>
      <x:c r="D96" s="75"/>
      <x:c r="E96" s="75"/>
      <x:c r="F96" s="75"/>
      <x:c r="G96" s="75"/>
      <x:c r="H96" s="75"/>
      <x:c r="I96" s="75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A97" s="75"/>
      <x:c r="B97" s="75"/>
      <x:c r="C97" s="75"/>
      <x:c r="D97" s="75"/>
      <x:c r="E97" s="75"/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A98" s="75"/>
      <x:c r="B98" s="75"/>
      <x:c r="C98" s="75"/>
      <x:c r="D98" s="75"/>
      <x:c r="E98" s="75"/>
      <x:c r="F98" s="75"/>
      <x:c r="G98" s="75"/>
      <x:c r="H98" s="75"/>
      <x:c r="I98" s="75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A99" s="75"/>
      <x:c r="B99" s="75"/>
      <x:c r="C99" s="75"/>
      <x:c r="D99" s="75"/>
      <x:c r="E99" s="75"/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A100" s="75"/>
      <x:c r="B100" s="75"/>
      <x:c r="C100" s="75"/>
      <x:c r="D100" s="75"/>
      <x:c r="E100" s="75"/>
      <x:c r="F100" s="75"/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A101" s="75"/>
      <x:c r="B101" s="75"/>
      <x:c r="C101" s="75"/>
      <x:c r="D101" s="75"/>
      <x:c r="E101" s="75"/>
      <x:c r="F101" s="75"/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A102" s="75"/>
      <x:c r="B102" s="75"/>
      <x:c r="C102" s="75"/>
      <x:c r="D102" s="75"/>
      <x:c r="E102" s="75"/>
      <x:c r="F102" s="75"/>
      <x:c r="G102" s="75"/>
      <x:c r="H102" s="75"/>
      <x:c r="I102" s="75"/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A103" s="75"/>
      <x:c r="B103" s="75"/>
      <x:c r="C103" s="75"/>
      <x:c r="D103" s="75"/>
      <x:c r="E103" s="75"/>
      <x:c r="F103" s="75"/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A104" s="75"/>
      <x:c r="B104" s="75"/>
      <x:c r="C104" s="75"/>
      <x:c r="D104" s="75"/>
      <x:c r="E104" s="75"/>
      <x:c r="F104" s="75"/>
      <x:c r="G104" s="75"/>
      <x:c r="H104" s="75"/>
      <x:c r="I104" s="75"/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A105" s="75"/>
      <x:c r="B105" s="75"/>
      <x:c r="C105" s="75"/>
      <x:c r="D105" s="75"/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A106" s="75"/>
      <x:c r="B106" s="75"/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A107" s="75"/>
      <x:c r="B107" s="75"/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A108" s="75"/>
      <x:c r="B108" s="75"/>
      <x:c r="C108" s="75"/>
      <x:c r="D108" s="75"/>
      <x:c r="E108" s="75"/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A109" s="75"/>
      <x:c r="B109" s="75"/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A110" s="75"/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A111" s="75"/>
      <x:c r="B111" s="75"/>
      <x:c r="C111" s="75"/>
      <x:c r="D111" s="75"/>
      <x:c r="E111" s="75"/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A112" s="75"/>
      <x:c r="B112" s="75"/>
      <x:c r="C112" s="75"/>
      <x:c r="D112" s="75"/>
      <x:c r="E112" s="75"/>
      <x:c r="F112" s="75"/>
      <x:c r="G112" s="75"/>
      <x:c r="H112" s="75"/>
      <x:c r="I112" s="75"/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A113" s="75"/>
      <x:c r="B113" s="75"/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A114" s="75"/>
      <x:c r="B114" s="75"/>
      <x:c r="C114" s="75"/>
      <x:c r="D114" s="75"/>
      <x:c r="E114" s="75"/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A115" s="75"/>
      <x:c r="B115" s="75"/>
      <x:c r="C115" s="75"/>
      <x:c r="D115" s="75"/>
      <x:c r="E115" s="75"/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A116" s="75"/>
      <x:c r="B116" s="75"/>
      <x:c r="C116" s="75"/>
      <x:c r="D116" s="75"/>
      <x:c r="E116" s="75"/>
      <x:c r="F116" s="75"/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A117" s="75"/>
      <x:c r="B117" s="75"/>
      <x:c r="C117" s="75"/>
      <x:c r="D117" s="75"/>
      <x:c r="E117" s="75"/>
      <x:c r="F117" s="75"/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A118" s="75"/>
      <x:c r="B118" s="75"/>
      <x:c r="C118" s="75"/>
      <x:c r="D118" s="75"/>
      <x:c r="E118" s="75"/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A119" s="75"/>
      <x:c r="B119" s="75"/>
      <x:c r="C119" s="75"/>
      <x:c r="D119" s="75"/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A120" s="75"/>
      <x:c r="B120" s="75"/>
      <x:c r="C120" s="75"/>
      <x:c r="D120" s="75"/>
      <x:c r="E120" s="75"/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A121" s="75"/>
      <x:c r="B121" s="75"/>
      <x:c r="C121" s="75"/>
      <x:c r="D121" s="75"/>
      <x:c r="E121" s="75"/>
      <x:c r="F121" s="75"/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A122" s="75"/>
      <x:c r="B122" s="75"/>
      <x:c r="C122" s="75"/>
      <x:c r="D122" s="75"/>
      <x:c r="E122" s="75"/>
      <x:c r="F122" s="75"/>
      <x:c r="G122" s="75"/>
      <x:c r="H122" s="75"/>
      <x:c r="I122" s="75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A123" s="75"/>
      <x:c r="B123" s="75"/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A124" s="75"/>
      <x:c r="B124" s="75"/>
      <x:c r="C124" s="75"/>
      <x:c r="D124" s="75"/>
      <x:c r="E124" s="75"/>
      <x:c r="F124" s="75"/>
      <x:c r="G124" s="75"/>
      <x:c r="H124" s="75"/>
      <x:c r="I124" s="75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A125" s="75"/>
      <x:c r="B125" s="75"/>
      <x:c r="C125" s="75"/>
      <x:c r="D125" s="75"/>
      <x:c r="E125" s="75"/>
      <x:c r="F125" s="75"/>
      <x:c r="G125" s="75"/>
      <x:c r="H125" s="75"/>
      <x:c r="I125" s="75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A126" s="75"/>
      <x:c r="B126" s="75"/>
      <x:c r="C126" s="75"/>
      <x:c r="D126" s="75"/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A127" s="75"/>
      <x:c r="B127" s="75"/>
      <x:c r="C127" s="75"/>
      <x:c r="D127" s="75"/>
      <x:c r="E127" s="75"/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A128" s="75"/>
      <x:c r="B128" s="75"/>
      <x:c r="C128" s="75"/>
      <x:c r="D128" s="75"/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A129" s="75"/>
      <x:c r="B129" s="75"/>
      <x:c r="C129" s="75"/>
      <x:c r="D129" s="75"/>
      <x:c r="E129" s="75"/>
      <x:c r="F129" s="75"/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A130" s="75"/>
      <x:c r="B130" s="75"/>
      <x:c r="C130" s="75"/>
      <x:c r="D130" s="75"/>
      <x:c r="E130" s="75"/>
      <x:c r="F130" s="75"/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A131" s="75"/>
      <x:c r="B131" s="75"/>
      <x:c r="C131" s="75"/>
      <x:c r="D131" s="75"/>
      <x:c r="E131" s="75"/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A132" s="75"/>
      <x:c r="B132" s="75"/>
      <x:c r="C132" s="75"/>
      <x:c r="D132" s="75"/>
      <x:c r="E132" s="75"/>
      <x:c r="F132" s="75"/>
      <x:c r="G132" s="75"/>
      <x:c r="H132" s="75"/>
      <x:c r="I132" s="75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A133" s="75"/>
      <x:c r="B133" s="75"/>
      <x:c r="C133" s="75"/>
      <x:c r="D133" s="75"/>
      <x:c r="E133" s="75"/>
      <x:c r="F133" s="75"/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A134" s="75"/>
      <x:c r="B134" s="75"/>
      <x:c r="C134" s="75"/>
      <x:c r="D134" s="75"/>
      <x:c r="E134" s="75"/>
      <x:c r="F134" s="75"/>
      <x:c r="G134" s="75"/>
      <x:c r="H134" s="75"/>
      <x:c r="I134" s="75"/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A135" s="75"/>
      <x:c r="B135" s="75"/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A136" s="75"/>
      <x:c r="B136" s="75"/>
      <x:c r="C136" s="75"/>
      <x:c r="D136" s="75"/>
      <x:c r="E136" s="75"/>
      <x:c r="F136" s="75"/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A137" s="75"/>
      <x:c r="B137" s="75"/>
      <x:c r="C137" s="75"/>
      <x:c r="D137" s="75"/>
      <x:c r="E137" s="75"/>
      <x:c r="F137" s="75"/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A138" s="75"/>
      <x:c r="B138" s="75"/>
      <x:c r="C138" s="75"/>
      <x:c r="D138" s="75"/>
      <x:c r="E138" s="75"/>
      <x:c r="F138" s="75"/>
      <x:c r="G138" s="75"/>
      <x:c r="H138" s="75"/>
      <x:c r="I138" s="75"/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A139" s="75"/>
      <x:c r="B139" s="75"/>
      <x:c r="C139" s="75"/>
      <x:c r="D139" s="75"/>
      <x:c r="E139" s="75"/>
      <x:c r="F139" s="75"/>
      <x:c r="G139" s="75"/>
      <x:c r="H139" s="75"/>
      <x:c r="I139" s="75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A140" s="75"/>
      <x:c r="B140" s="75"/>
      <x:c r="C140" s="75"/>
      <x:c r="D140" s="75"/>
      <x:c r="E140" s="75"/>
      <x:c r="F140" s="75"/>
      <x:c r="G140" s="75"/>
      <x:c r="H140" s="75"/>
      <x:c r="I140" s="75"/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A141" s="75"/>
      <x:c r="B141" s="75"/>
      <x:c r="C141" s="75"/>
      <x:c r="D141" s="75"/>
      <x:c r="E141" s="75"/>
      <x:c r="F141" s="75"/>
      <x:c r="G141" s="75"/>
      <x:c r="H141" s="75"/>
      <x:c r="I141" s="75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A142" s="75"/>
      <x:c r="B142" s="75"/>
      <x:c r="C142" s="75"/>
      <x:c r="D142" s="75"/>
      <x:c r="E142" s="75"/>
      <x:c r="F142" s="75"/>
      <x:c r="G142" s="75"/>
      <x:c r="H142" s="75"/>
      <x:c r="I142" s="75"/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A143" s="75"/>
      <x:c r="B143" s="75"/>
      <x:c r="C143" s="75"/>
      <x:c r="D143" s="75"/>
      <x:c r="E143" s="75"/>
      <x:c r="F143" s="75"/>
      <x:c r="G143" s="75"/>
      <x:c r="H143" s="75"/>
      <x:c r="I143" s="75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A144" s="75"/>
      <x:c r="B144" s="75"/>
      <x:c r="C144" s="75"/>
      <x:c r="D144" s="75"/>
      <x:c r="E144" s="75"/>
      <x:c r="F144" s="75"/>
      <x:c r="G144" s="75"/>
      <x:c r="H144" s="75"/>
      <x:c r="I144" s="75"/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A145" s="75"/>
      <x:c r="B145" s="75"/>
      <x:c r="C145" s="75"/>
      <x:c r="D145" s="75"/>
      <x:c r="E145" s="75"/>
      <x:c r="F145" s="75"/>
      <x:c r="G145" s="75"/>
      <x:c r="H145" s="75"/>
      <x:c r="I145" s="75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A146" s="75"/>
      <x:c r="B146" s="75"/>
      <x:c r="C146" s="75"/>
      <x:c r="D146" s="75"/>
      <x:c r="E146" s="75"/>
      <x:c r="F146" s="75"/>
      <x:c r="G146" s="75"/>
      <x:c r="H146" s="75"/>
      <x:c r="I146" s="75"/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A147" s="75"/>
      <x:c r="B147" s="75"/>
      <x:c r="C147" s="75"/>
      <x:c r="D147" s="75"/>
      <x:c r="E147" s="75"/>
      <x:c r="F147" s="75"/>
      <x:c r="G147" s="75"/>
      <x:c r="H147" s="75"/>
      <x:c r="I147" s="75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A148" s="75"/>
      <x:c r="B148" s="75"/>
      <x:c r="C148" s="75"/>
      <x:c r="D148" s="75"/>
      <x:c r="E148" s="75"/>
      <x:c r="F148" s="75"/>
      <x:c r="G148" s="75"/>
      <x:c r="H148" s="75"/>
      <x:c r="I148" s="75"/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A149" s="75"/>
      <x:c r="B149" s="75"/>
      <x:c r="C149" s="75"/>
      <x:c r="D149" s="75"/>
      <x:c r="E149" s="75"/>
      <x:c r="F149" s="75"/>
      <x:c r="G149" s="75"/>
      <x:c r="H149" s="75"/>
      <x:c r="I149" s="75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A150" s="75"/>
      <x:c r="B150" s="75"/>
      <x:c r="C150" s="75"/>
      <x:c r="D150" s="75"/>
      <x:c r="E150" s="75"/>
      <x:c r="F150" s="75"/>
      <x:c r="G150" s="75"/>
      <x:c r="H150" s="75"/>
      <x:c r="I150" s="75"/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A151" s="75"/>
      <x:c r="B151" s="75"/>
      <x:c r="C151" s="75"/>
      <x:c r="D151" s="75"/>
      <x:c r="E151" s="75"/>
      <x:c r="F151" s="75"/>
      <x:c r="G151" s="75"/>
      <x:c r="H151" s="75"/>
      <x:c r="I151" s="75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A152" s="75"/>
      <x:c r="B152" s="75"/>
      <x:c r="C152" s="75"/>
      <x:c r="D152" s="75"/>
      <x:c r="E152" s="75"/>
      <x:c r="F152" s="75"/>
      <x:c r="G152" s="75"/>
      <x:c r="H152" s="75"/>
      <x:c r="I152" s="75"/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A153" s="75"/>
      <x:c r="B153" s="75"/>
      <x:c r="C153" s="75"/>
      <x:c r="D153" s="75"/>
      <x:c r="E153" s="75"/>
      <x:c r="F153" s="75"/>
      <x:c r="G153" s="75"/>
      <x:c r="H153" s="75"/>
      <x:c r="I153" s="75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A154" s="75"/>
      <x:c r="B154" s="75"/>
      <x:c r="C154" s="75"/>
      <x:c r="D154" s="75"/>
      <x:c r="E154" s="75"/>
      <x:c r="F154" s="75"/>
      <x:c r="G154" s="75"/>
      <x:c r="H154" s="75"/>
      <x:c r="I154" s="75"/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A155" s="75"/>
      <x:c r="B155" s="75"/>
      <x:c r="C155" s="75"/>
      <x:c r="D155" s="75"/>
      <x:c r="E155" s="75"/>
      <x:c r="F155" s="75"/>
      <x:c r="G155" s="75"/>
      <x:c r="H155" s="75"/>
      <x:c r="I155" s="75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  <x:row r="156">
      <x:c r="A156" s="75"/>
      <x:c r="B156" s="75"/>
      <x:c r="C156" s="75"/>
      <x:c r="D156" s="75"/>
      <x:c r="E156" s="75"/>
      <x:c r="F156" s="75"/>
      <x:c r="G156" s="75"/>
      <x:c r="H156" s="75"/>
      <x:c r="I156" s="75"/>
      <x:c r="J156" s="75"/>
      <x:c r="K156" s="75"/>
      <x:c r="L156" s="75"/>
      <x:c r="M156" s="75"/>
      <x:c r="N156" s="75"/>
      <x:c r="O156" s="75"/>
      <x:c r="P156" s="75"/>
      <x:c r="Q156" s="75"/>
      <x:c r="R156" s="75"/>
      <x:c r="S156" s="75"/>
      <x:c r="T156" s="75"/>
      <x:c r="U156" s="75"/>
      <x:c r="V156" s="75"/>
      <x:c r="W156" s="75"/>
      <x:c r="X156" s="75"/>
      <x:c r="Y156" s="75"/>
      <x:c r="Z156" s="75"/>
    </x:row>
    <x:row r="157">
      <x:c r="A157" s="75"/>
      <x:c r="B157" s="75"/>
      <x:c r="C157" s="75"/>
      <x:c r="D157" s="75"/>
      <x:c r="E157" s="75"/>
      <x:c r="F157" s="75"/>
      <x:c r="G157" s="75"/>
      <x:c r="H157" s="75"/>
      <x:c r="I157" s="75"/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</x:row>
    <x:row r="158">
      <x:c r="A158" s="75"/>
      <x:c r="B158" s="75"/>
      <x:c r="C158" s="75"/>
      <x:c r="D158" s="75"/>
      <x:c r="E158" s="75"/>
      <x:c r="F158" s="75"/>
      <x:c r="G158" s="75"/>
      <x:c r="H158" s="75"/>
      <x:c r="I158" s="75"/>
      <x:c r="J158" s="75"/>
      <x:c r="K158" s="75"/>
      <x:c r="L158" s="75"/>
      <x:c r="M158" s="75"/>
      <x:c r="N158" s="75"/>
      <x:c r="O158" s="75"/>
      <x:c r="P158" s="75"/>
      <x:c r="Q158" s="75"/>
      <x:c r="R158" s="75"/>
      <x:c r="S158" s="75"/>
      <x:c r="T158" s="75"/>
      <x:c r="U158" s="75"/>
      <x:c r="V158" s="75"/>
      <x:c r="W158" s="75"/>
      <x:c r="X158" s="75"/>
      <x:c r="Y158" s="75"/>
      <x:c r="Z158" s="75"/>
    </x:row>
    <x:row r="159">
      <x:c r="A159" s="75"/>
      <x:c r="B159" s="75"/>
      <x:c r="C159" s="75"/>
      <x:c r="D159" s="75"/>
      <x:c r="E159" s="75"/>
      <x:c r="F159" s="75"/>
      <x:c r="G159" s="75"/>
      <x:c r="H159" s="75"/>
      <x:c r="I159" s="75"/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</x:row>
    <x:row r="160">
      <x:c r="A160" s="75"/>
      <x:c r="B160" s="75"/>
      <x:c r="C160" s="75"/>
      <x:c r="D160" s="75"/>
      <x:c r="E160" s="75"/>
      <x:c r="F160" s="75"/>
      <x:c r="G160" s="75"/>
      <x:c r="H160" s="75"/>
      <x:c r="I160" s="75"/>
      <x:c r="J160" s="75"/>
      <x:c r="K160" s="75"/>
      <x:c r="L160" s="75"/>
      <x:c r="M160" s="75"/>
      <x:c r="N160" s="75"/>
      <x:c r="O160" s="75"/>
      <x:c r="P160" s="75"/>
      <x:c r="Q160" s="75"/>
      <x:c r="R160" s="75"/>
      <x:c r="S160" s="75"/>
      <x:c r="T160" s="75"/>
      <x:c r="U160" s="75"/>
      <x:c r="V160" s="75"/>
      <x:c r="W160" s="75"/>
      <x:c r="X160" s="75"/>
      <x:c r="Y160" s="75"/>
      <x:c r="Z160" s="75"/>
    </x:row>
    <x:row r="161">
      <x:c r="A161" s="75"/>
      <x:c r="B161" s="75"/>
      <x:c r="C161" s="75"/>
      <x:c r="D161" s="75"/>
      <x:c r="E161" s="75"/>
      <x:c r="F161" s="75"/>
      <x:c r="G161" s="75"/>
      <x:c r="H161" s="75"/>
      <x:c r="I161" s="75"/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</x:row>
    <x:row r="162">
      <x:c r="A162" s="75"/>
      <x:c r="B162" s="75"/>
      <x:c r="C162" s="75"/>
      <x:c r="D162" s="75"/>
      <x:c r="E162" s="75"/>
      <x:c r="F162" s="75"/>
      <x:c r="G162" s="75"/>
      <x:c r="H162" s="75"/>
      <x:c r="I162" s="75"/>
      <x:c r="J162" s="75"/>
      <x:c r="K162" s="75"/>
      <x:c r="L162" s="75"/>
      <x:c r="M162" s="75"/>
      <x:c r="N162" s="75"/>
      <x:c r="O162" s="75"/>
      <x:c r="P162" s="75"/>
      <x:c r="Q162" s="75"/>
      <x:c r="R162" s="75"/>
      <x:c r="S162" s="75"/>
      <x:c r="T162" s="75"/>
      <x:c r="U162" s="75"/>
      <x:c r="V162" s="75"/>
      <x:c r="W162" s="75"/>
      <x:c r="X162" s="75"/>
      <x:c r="Y162" s="75"/>
      <x:c r="Z162" s="75"/>
    </x:row>
    <x:row r="163">
      <x:c r="A163" s="75"/>
      <x:c r="B163" s="75"/>
      <x:c r="C163" s="75"/>
      <x:c r="D163" s="75"/>
      <x:c r="E163" s="75"/>
      <x:c r="F163" s="75"/>
      <x:c r="G163" s="75"/>
      <x:c r="H163" s="75"/>
      <x:c r="I163" s="75"/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</x:row>
    <x:row r="164">
      <x:c r="A164" s="75"/>
      <x:c r="B164" s="75"/>
      <x:c r="C164" s="75"/>
      <x:c r="D164" s="75"/>
      <x:c r="E164" s="75"/>
      <x:c r="F164" s="75"/>
      <x:c r="G164" s="75"/>
      <x:c r="H164" s="75"/>
      <x:c r="I164" s="75"/>
      <x:c r="J164" s="75"/>
      <x:c r="K164" s="75"/>
      <x:c r="L164" s="75"/>
      <x:c r="M164" s="75"/>
      <x:c r="N164" s="75"/>
      <x:c r="O164" s="75"/>
      <x:c r="P164" s="75"/>
      <x:c r="Q164" s="75"/>
      <x:c r="R164" s="75"/>
      <x:c r="S164" s="75"/>
      <x:c r="T164" s="75"/>
      <x:c r="U164" s="75"/>
      <x:c r="V164" s="75"/>
      <x:c r="W164" s="75"/>
      <x:c r="X164" s="75"/>
      <x:c r="Y164" s="75"/>
      <x:c r="Z164" s="75"/>
    </x:row>
    <x:row r="165">
      <x:c r="A165" s="75"/>
      <x:c r="B165" s="75"/>
      <x:c r="C165" s="75"/>
      <x:c r="D165" s="75"/>
      <x:c r="E165" s="75"/>
      <x:c r="F165" s="75"/>
      <x:c r="G165" s="75"/>
      <x:c r="H165" s="75"/>
      <x:c r="I165" s="75"/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</x:row>
    <x:row r="166">
      <x:c r="A166" s="75"/>
      <x:c r="B166" s="75"/>
      <x:c r="C166" s="75"/>
      <x:c r="D166" s="75"/>
      <x:c r="E166" s="75"/>
      <x:c r="F166" s="75"/>
      <x:c r="G166" s="75"/>
      <x:c r="H166" s="75"/>
      <x:c r="I166" s="75"/>
      <x:c r="J166" s="75"/>
      <x:c r="K166" s="75"/>
      <x:c r="L166" s="75"/>
      <x:c r="M166" s="75"/>
      <x:c r="N166" s="75"/>
      <x:c r="O166" s="75"/>
      <x:c r="P166" s="75"/>
      <x:c r="Q166" s="75"/>
      <x:c r="R166" s="75"/>
      <x:c r="S166" s="75"/>
      <x:c r="T166" s="75"/>
      <x:c r="U166" s="75"/>
      <x:c r="V166" s="75"/>
      <x:c r="W166" s="75"/>
      <x:c r="X166" s="75"/>
      <x:c r="Y166" s="75"/>
      <x:c r="Z166" s="75"/>
    </x:row>
    <x:row r="167">
      <x:c r="A167" s="75"/>
      <x:c r="B167" s="75"/>
      <x:c r="C167" s="75"/>
      <x:c r="D167" s="75"/>
      <x:c r="E167" s="75"/>
      <x:c r="F167" s="75"/>
      <x:c r="G167" s="75"/>
      <x:c r="H167" s="75"/>
      <x:c r="I167" s="75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</x:row>
    <x:row r="168">
      <x:c r="A168" s="75"/>
      <x:c r="B168" s="75"/>
      <x:c r="C168" s="75"/>
      <x:c r="D168" s="75"/>
      <x:c r="E168" s="75"/>
      <x:c r="F168" s="75"/>
      <x:c r="G168" s="75"/>
      <x:c r="H168" s="75"/>
      <x:c r="I168" s="75"/>
      <x:c r="J168" s="75"/>
      <x:c r="K168" s="75"/>
      <x:c r="L168" s="75"/>
      <x:c r="M168" s="75"/>
      <x:c r="N168" s="75"/>
      <x:c r="O168" s="75"/>
      <x:c r="P168" s="75"/>
      <x:c r="Q168" s="75"/>
      <x:c r="R168" s="75"/>
      <x:c r="S168" s="75"/>
      <x:c r="T168" s="75"/>
      <x:c r="U168" s="75"/>
      <x:c r="V168" s="75"/>
      <x:c r="W168" s="75"/>
      <x:c r="X168" s="75"/>
      <x:c r="Y168" s="75"/>
      <x:c r="Z168" s="75"/>
    </x:row>
    <x:row r="169">
      <x:c r="A169" s="75"/>
      <x:c r="B169" s="75"/>
      <x:c r="C169" s="75"/>
      <x:c r="D169" s="75"/>
      <x:c r="E169" s="75"/>
      <x:c r="F169" s="75"/>
      <x:c r="G169" s="75"/>
      <x:c r="H169" s="75"/>
      <x:c r="I169" s="75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</x:row>
    <x:row r="170">
      <x:c r="A170" s="75"/>
      <x:c r="B170" s="75"/>
      <x:c r="C170" s="75"/>
      <x:c r="D170" s="75"/>
      <x:c r="E170" s="75"/>
      <x:c r="F170" s="75"/>
      <x:c r="G170" s="75"/>
      <x:c r="H170" s="75"/>
      <x:c r="I170" s="75"/>
      <x:c r="J170" s="75"/>
      <x:c r="K170" s="75"/>
      <x:c r="L170" s="75"/>
      <x:c r="M170" s="75"/>
      <x:c r="N170" s="75"/>
      <x:c r="O170" s="75"/>
      <x:c r="P170" s="75"/>
      <x:c r="Q170" s="75"/>
      <x:c r="R170" s="75"/>
      <x:c r="S170" s="75"/>
      <x:c r="T170" s="75"/>
      <x:c r="U170" s="75"/>
      <x:c r="V170" s="75"/>
      <x:c r="W170" s="75"/>
      <x:c r="X170" s="75"/>
      <x:c r="Y170" s="75"/>
      <x:c r="Z170" s="75"/>
    </x:row>
    <x:row r="171">
      <x:c r="A171" s="75"/>
      <x:c r="B171" s="75"/>
      <x:c r="C171" s="75"/>
      <x:c r="D171" s="75"/>
      <x:c r="E171" s="75"/>
      <x:c r="F171" s="75"/>
      <x:c r="G171" s="75"/>
      <x:c r="H171" s="75"/>
      <x:c r="I171" s="75"/>
      <x:c r="J171" s="75"/>
      <x:c r="K171" s="75"/>
      <x:c r="L171" s="75"/>
      <x:c r="M171" s="75"/>
      <x:c r="N171" s="75"/>
      <x:c r="O171" s="75"/>
      <x:c r="P171" s="75"/>
      <x:c r="Q171" s="75"/>
      <x:c r="R171" s="75"/>
      <x:c r="S171" s="75"/>
      <x:c r="T171" s="75"/>
      <x:c r="U171" s="75"/>
      <x:c r="V171" s="75"/>
      <x:c r="W171" s="75"/>
      <x:c r="X171" s="75"/>
      <x:c r="Y171" s="75"/>
      <x:c r="Z171" s="75"/>
    </x:row>
    <x:row r="172">
      <x:c r="A172" s="75"/>
      <x:c r="B172" s="75"/>
      <x:c r="C172" s="75"/>
      <x:c r="D172" s="75"/>
      <x:c r="E172" s="75"/>
      <x:c r="F172" s="75"/>
      <x:c r="G172" s="75"/>
      <x:c r="H172" s="75"/>
      <x:c r="I172" s="75"/>
      <x:c r="J172" s="75"/>
      <x:c r="K172" s="75"/>
      <x:c r="L172" s="75"/>
      <x:c r="M172" s="75"/>
      <x:c r="N172" s="75"/>
      <x:c r="O172" s="75"/>
      <x:c r="P172" s="75"/>
      <x:c r="Q172" s="75"/>
      <x:c r="R172" s="75"/>
      <x:c r="S172" s="75"/>
      <x:c r="T172" s="75"/>
      <x:c r="U172" s="75"/>
      <x:c r="V172" s="75"/>
      <x:c r="W172" s="75"/>
      <x:c r="X172" s="75"/>
      <x:c r="Y172" s="75"/>
      <x:c r="Z172" s="75"/>
    </x:row>
    <x:row r="173">
      <x:c r="A173" s="75"/>
      <x:c r="B173" s="75"/>
      <x:c r="C173" s="75"/>
      <x:c r="D173" s="75"/>
      <x:c r="E173" s="75"/>
      <x:c r="F173" s="75"/>
      <x:c r="G173" s="75"/>
      <x:c r="H173" s="75"/>
      <x:c r="I173" s="75"/>
      <x:c r="J173" s="75"/>
      <x:c r="K173" s="75"/>
      <x:c r="L173" s="75"/>
      <x:c r="M173" s="75"/>
      <x:c r="N173" s="75"/>
      <x:c r="O173" s="75"/>
      <x:c r="P173" s="75"/>
      <x:c r="Q173" s="75"/>
      <x:c r="R173" s="75"/>
      <x:c r="S173" s="75"/>
      <x:c r="T173" s="75"/>
      <x:c r="U173" s="75"/>
      <x:c r="V173" s="75"/>
      <x:c r="W173" s="75"/>
      <x:c r="X173" s="75"/>
      <x:c r="Y173" s="75"/>
      <x:c r="Z173" s="75"/>
    </x:row>
    <x:row r="174">
      <x:c r="A174" s="75"/>
      <x:c r="B174" s="75"/>
      <x:c r="C174" s="75"/>
      <x:c r="D174" s="75"/>
      <x:c r="E174" s="75"/>
      <x:c r="F174" s="75"/>
      <x:c r="G174" s="75"/>
      <x:c r="H174" s="75"/>
      <x:c r="I174" s="75"/>
      <x:c r="J174" s="75"/>
      <x:c r="K174" s="75"/>
      <x:c r="L174" s="75"/>
      <x:c r="M174" s="75"/>
      <x:c r="N174" s="75"/>
      <x:c r="O174" s="75"/>
      <x:c r="P174" s="75"/>
      <x:c r="Q174" s="75"/>
      <x:c r="R174" s="75"/>
      <x:c r="S174" s="75"/>
      <x:c r="T174" s="75"/>
      <x:c r="U174" s="75"/>
      <x:c r="V174" s="75"/>
      <x:c r="W174" s="75"/>
      <x:c r="X174" s="75"/>
      <x:c r="Y174" s="75"/>
      <x:c r="Z174" s="75"/>
    </x:row>
    <x:row r="175">
      <x:c r="A175" s="75"/>
      <x:c r="B175" s="75"/>
      <x:c r="C175" s="75"/>
      <x:c r="D175" s="75"/>
      <x:c r="E175" s="75"/>
      <x:c r="F175" s="75"/>
      <x:c r="G175" s="75"/>
      <x:c r="H175" s="75"/>
      <x:c r="I175" s="75"/>
      <x:c r="J175" s="75"/>
      <x:c r="K175" s="75"/>
      <x:c r="L175" s="75"/>
      <x:c r="M175" s="75"/>
      <x:c r="N175" s="75"/>
      <x:c r="O175" s="75"/>
      <x:c r="P175" s="75"/>
      <x:c r="Q175" s="75"/>
      <x:c r="R175" s="75"/>
      <x:c r="S175" s="75"/>
      <x:c r="T175" s="75"/>
      <x:c r="U175" s="75"/>
      <x:c r="V175" s="75"/>
      <x:c r="W175" s="75"/>
      <x:c r="X175" s="75"/>
      <x:c r="Y175" s="75"/>
      <x:c r="Z175" s="75"/>
    </x:row>
    <x:row r="176">
      <x:c r="A176" s="75"/>
      <x:c r="B176" s="75"/>
      <x:c r="C176" s="75"/>
      <x:c r="D176" s="75"/>
      <x:c r="E176" s="75"/>
      <x:c r="F176" s="75"/>
      <x:c r="G176" s="75"/>
      <x:c r="H176" s="75"/>
      <x:c r="I176" s="75"/>
      <x:c r="J176" s="75"/>
      <x:c r="K176" s="75"/>
      <x:c r="L176" s="75"/>
      <x:c r="M176" s="75"/>
      <x:c r="N176" s="75"/>
      <x:c r="O176" s="75"/>
      <x:c r="P176" s="75"/>
      <x:c r="Q176" s="75"/>
      <x:c r="R176" s="75"/>
      <x:c r="S176" s="75"/>
      <x:c r="T176" s="75"/>
      <x:c r="U176" s="75"/>
      <x:c r="V176" s="75"/>
      <x:c r="W176" s="75"/>
      <x:c r="X176" s="75"/>
      <x:c r="Y176" s="75"/>
      <x:c r="Z176" s="75"/>
    </x:row>
    <x:row r="177">
      <x:c r="A177" s="75"/>
      <x:c r="B177" s="75"/>
      <x:c r="C177" s="75"/>
      <x:c r="D177" s="75"/>
      <x:c r="E177" s="75"/>
      <x:c r="F177" s="75"/>
      <x:c r="G177" s="75"/>
      <x:c r="H177" s="75"/>
      <x:c r="I177" s="75"/>
      <x:c r="J177" s="75"/>
      <x:c r="K177" s="75"/>
      <x:c r="L177" s="75"/>
      <x:c r="M177" s="75"/>
      <x:c r="N177" s="75"/>
      <x:c r="O177" s="75"/>
      <x:c r="P177" s="75"/>
      <x:c r="Q177" s="75"/>
      <x:c r="R177" s="75"/>
      <x:c r="S177" s="75"/>
      <x:c r="T177" s="75"/>
      <x:c r="U177" s="75"/>
      <x:c r="V177" s="75"/>
      <x:c r="W177" s="75"/>
      <x:c r="X177" s="75"/>
      <x:c r="Y177" s="75"/>
      <x:c r="Z177" s="75"/>
    </x:row>
    <x:row r="178">
      <x:c r="A178" s="75"/>
      <x:c r="B178" s="75"/>
      <x:c r="C178" s="75"/>
      <x:c r="D178" s="75"/>
      <x:c r="E178" s="75"/>
      <x:c r="F178" s="75"/>
      <x:c r="G178" s="75"/>
      <x:c r="H178" s="75"/>
      <x:c r="I178" s="75"/>
      <x:c r="J178" s="75"/>
      <x:c r="K178" s="75"/>
      <x:c r="L178" s="75"/>
      <x:c r="M178" s="75"/>
      <x:c r="N178" s="75"/>
      <x:c r="O178" s="75"/>
      <x:c r="P178" s="75"/>
      <x:c r="Q178" s="75"/>
      <x:c r="R178" s="75"/>
      <x:c r="S178" s="75"/>
      <x:c r="T178" s="75"/>
      <x:c r="U178" s="75"/>
      <x:c r="V178" s="75"/>
      <x:c r="W178" s="75"/>
      <x:c r="X178" s="75"/>
      <x:c r="Y178" s="75"/>
      <x:c r="Z178" s="75"/>
    </x:row>
    <x:row r="179">
      <x:c r="A179" s="75"/>
      <x:c r="B179" s="75"/>
      <x:c r="C179" s="75"/>
      <x:c r="D179" s="75"/>
      <x:c r="E179" s="75"/>
      <x:c r="F179" s="75"/>
      <x:c r="G179" s="75"/>
      <x:c r="H179" s="75"/>
      <x:c r="I179" s="75"/>
      <x:c r="J179" s="75"/>
      <x:c r="K179" s="75"/>
      <x:c r="L179" s="75"/>
      <x:c r="M179" s="75"/>
      <x:c r="N179" s="75"/>
      <x:c r="O179" s="75"/>
      <x:c r="P179" s="75"/>
      <x:c r="Q179" s="75"/>
      <x:c r="R179" s="75"/>
      <x:c r="S179" s="75"/>
      <x:c r="T179" s="75"/>
      <x:c r="U179" s="75"/>
      <x:c r="V179" s="75"/>
      <x:c r="W179" s="75"/>
      <x:c r="X179" s="75"/>
      <x:c r="Y179" s="75"/>
      <x:c r="Z179" s="75"/>
    </x:row>
    <x:row r="180">
      <x:c r="A180" s="75"/>
      <x:c r="B180" s="75"/>
      <x:c r="C180" s="75"/>
      <x:c r="D180" s="75"/>
      <x:c r="E180" s="75"/>
      <x:c r="F180" s="75"/>
      <x:c r="G180" s="75"/>
      <x:c r="H180" s="75"/>
      <x:c r="I180" s="75"/>
      <x:c r="J180" s="75"/>
      <x:c r="K180" s="75"/>
      <x:c r="L180" s="75"/>
      <x:c r="M180" s="75"/>
      <x:c r="N180" s="75"/>
      <x:c r="O180" s="75"/>
      <x:c r="P180" s="75"/>
      <x:c r="Q180" s="75"/>
      <x:c r="R180" s="75"/>
      <x:c r="S180" s="75"/>
      <x:c r="T180" s="75"/>
      <x:c r="U180" s="75"/>
      <x:c r="V180" s="75"/>
      <x:c r="W180" s="75"/>
      <x:c r="X180" s="75"/>
      <x:c r="Y180" s="75"/>
      <x:c r="Z180" s="75"/>
    </x:row>
    <x:row r="181">
      <x:c r="A181" s="75"/>
      <x:c r="B181" s="75"/>
      <x:c r="C181" s="75"/>
      <x:c r="D181" s="75"/>
      <x:c r="E181" s="75"/>
      <x:c r="F181" s="75"/>
      <x:c r="G181" s="75"/>
      <x:c r="H181" s="75"/>
      <x:c r="I181" s="75"/>
      <x:c r="J181" s="75"/>
      <x:c r="K181" s="75"/>
      <x:c r="L181" s="75"/>
      <x:c r="M181" s="75"/>
      <x:c r="N181" s="75"/>
      <x:c r="O181" s="75"/>
      <x:c r="P181" s="75"/>
      <x:c r="Q181" s="75"/>
      <x:c r="R181" s="75"/>
      <x:c r="S181" s="75"/>
      <x:c r="T181" s="75"/>
      <x:c r="U181" s="75"/>
      <x:c r="V181" s="75"/>
      <x:c r="W181" s="75"/>
      <x:c r="X181" s="75"/>
      <x:c r="Y181" s="75"/>
      <x:c r="Z181" s="75"/>
    </x:row>
    <x:row r="182">
      <x:c r="A182" s="75"/>
      <x:c r="B182" s="75"/>
      <x:c r="C182" s="75"/>
      <x:c r="D182" s="75"/>
      <x:c r="E182" s="75"/>
      <x:c r="F182" s="75"/>
      <x:c r="G182" s="75"/>
      <x:c r="H182" s="75"/>
      <x:c r="I182" s="75"/>
      <x:c r="J182" s="75"/>
      <x:c r="K182" s="75"/>
      <x:c r="L182" s="75"/>
      <x:c r="M182" s="75"/>
      <x:c r="N182" s="75"/>
      <x:c r="O182" s="75"/>
      <x:c r="P182" s="75"/>
      <x:c r="Q182" s="75"/>
      <x:c r="R182" s="75"/>
      <x:c r="S182" s="75"/>
      <x:c r="T182" s="75"/>
      <x:c r="U182" s="75"/>
      <x:c r="V182" s="75"/>
      <x:c r="W182" s="75"/>
      <x:c r="X182" s="75"/>
      <x:c r="Y182" s="75"/>
      <x:c r="Z182" s="75"/>
    </x:row>
    <x:row r="183">
      <x:c r="A183" s="75"/>
      <x:c r="B183" s="75"/>
      <x:c r="C183" s="75"/>
      <x:c r="D183" s="75"/>
      <x:c r="E183" s="75"/>
      <x:c r="F183" s="75"/>
      <x:c r="G183" s="75"/>
      <x:c r="H183" s="75"/>
      <x:c r="I183" s="75"/>
      <x:c r="J183" s="75"/>
      <x:c r="K183" s="75"/>
      <x:c r="L183" s="75"/>
      <x:c r="M183" s="75"/>
      <x:c r="N183" s="75"/>
      <x:c r="O183" s="75"/>
      <x:c r="P183" s="75"/>
      <x:c r="Q183" s="75"/>
      <x:c r="R183" s="75"/>
      <x:c r="S183" s="75"/>
      <x:c r="T183" s="75"/>
      <x:c r="U183" s="75"/>
      <x:c r="V183" s="75"/>
      <x:c r="W183" s="75"/>
      <x:c r="X183" s="75"/>
      <x:c r="Y183" s="75"/>
      <x:c r="Z183" s="75"/>
    </x:row>
    <x:row r="184">
      <x:c r="A184" s="75"/>
      <x:c r="B184" s="75"/>
      <x:c r="C184" s="75"/>
      <x:c r="D184" s="75"/>
      <x:c r="E184" s="75"/>
      <x:c r="F184" s="75"/>
      <x:c r="G184" s="75"/>
      <x:c r="H184" s="75"/>
      <x:c r="I184" s="75"/>
      <x:c r="J184" s="75"/>
      <x:c r="K184" s="75"/>
      <x:c r="L184" s="75"/>
      <x:c r="M184" s="75"/>
      <x:c r="N184" s="75"/>
      <x:c r="O184" s="75"/>
      <x:c r="P184" s="75"/>
      <x:c r="Q184" s="75"/>
      <x:c r="R184" s="75"/>
      <x:c r="S184" s="75"/>
      <x:c r="T184" s="75"/>
      <x:c r="U184" s="75"/>
      <x:c r="V184" s="75"/>
      <x:c r="W184" s="75"/>
      <x:c r="X184" s="75"/>
      <x:c r="Y184" s="75"/>
      <x:c r="Z184" s="75"/>
    </x:row>
    <x:row r="185">
      <x:c r="A185" s="75"/>
      <x:c r="B185" s="75"/>
      <x:c r="C185" s="75"/>
      <x:c r="D185" s="75"/>
      <x:c r="E185" s="75"/>
      <x:c r="F185" s="75"/>
      <x:c r="G185" s="75"/>
      <x:c r="H185" s="75"/>
      <x:c r="I185" s="75"/>
      <x:c r="J185" s="75"/>
      <x:c r="K185" s="75"/>
      <x:c r="L185" s="75"/>
      <x:c r="M185" s="75"/>
      <x:c r="N185" s="75"/>
      <x:c r="O185" s="75"/>
      <x:c r="P185" s="75"/>
      <x:c r="Q185" s="75"/>
      <x:c r="R185" s="75"/>
      <x:c r="S185" s="75"/>
      <x:c r="T185" s="75"/>
      <x:c r="U185" s="75"/>
      <x:c r="V185" s="75"/>
      <x:c r="W185" s="75"/>
      <x:c r="X185" s="75"/>
      <x:c r="Y185" s="75"/>
      <x:c r="Z185" s="75"/>
    </x:row>
    <x:row r="186">
      <x:c r="A186" s="75"/>
      <x:c r="B186" s="75"/>
      <x:c r="C186" s="75"/>
      <x:c r="D186" s="75"/>
      <x:c r="E186" s="75"/>
      <x:c r="F186" s="75"/>
      <x:c r="G186" s="75"/>
      <x:c r="H186" s="75"/>
      <x:c r="I186" s="75"/>
      <x:c r="J186" s="75"/>
      <x:c r="K186" s="75"/>
      <x:c r="L186" s="75"/>
      <x:c r="M186" s="75"/>
      <x:c r="N186" s="75"/>
      <x:c r="O186" s="75"/>
      <x:c r="P186" s="75"/>
      <x:c r="Q186" s="75"/>
      <x:c r="R186" s="75"/>
      <x:c r="S186" s="75"/>
      <x:c r="T186" s="75"/>
      <x:c r="U186" s="75"/>
      <x:c r="V186" s="75"/>
      <x:c r="W186" s="75"/>
      <x:c r="X186" s="75"/>
      <x:c r="Y186" s="75"/>
      <x:c r="Z186" s="75"/>
    </x:row>
    <x:row r="187">
      <x:c r="A187" s="75"/>
      <x:c r="B187" s="75"/>
      <x:c r="C187" s="75"/>
      <x:c r="D187" s="75"/>
      <x:c r="E187" s="75"/>
      <x:c r="F187" s="75"/>
      <x:c r="G187" s="75"/>
      <x:c r="H187" s="75"/>
      <x:c r="I187" s="75"/>
      <x:c r="J187" s="75"/>
      <x:c r="K187" s="75"/>
      <x:c r="L187" s="75"/>
      <x:c r="M187" s="75"/>
      <x:c r="N187" s="75"/>
      <x:c r="O187" s="75"/>
      <x:c r="P187" s="75"/>
      <x:c r="Q187" s="75"/>
      <x:c r="R187" s="75"/>
      <x:c r="S187" s="75"/>
      <x:c r="T187" s="75"/>
      <x:c r="U187" s="75"/>
      <x:c r="V187" s="75"/>
      <x:c r="W187" s="75"/>
      <x:c r="X187" s="75"/>
      <x:c r="Y187" s="75"/>
      <x:c r="Z187" s="75"/>
    </x:row>
    <x:row r="188">
      <x:c r="A188" s="75"/>
      <x:c r="B188" s="75"/>
      <x:c r="C188" s="75"/>
      <x:c r="D188" s="75"/>
      <x:c r="E188" s="75"/>
      <x:c r="F188" s="75"/>
      <x:c r="G188" s="75"/>
      <x:c r="H188" s="75"/>
      <x:c r="I188" s="75"/>
      <x:c r="J188" s="75"/>
      <x:c r="K188" s="75"/>
      <x:c r="L188" s="75"/>
      <x:c r="M188" s="75"/>
      <x:c r="N188" s="75"/>
      <x:c r="O188" s="75"/>
      <x:c r="P188" s="75"/>
      <x:c r="Q188" s="75"/>
      <x:c r="R188" s="75"/>
      <x:c r="S188" s="75"/>
      <x:c r="T188" s="75"/>
      <x:c r="U188" s="75"/>
      <x:c r="V188" s="75"/>
      <x:c r="W188" s="75"/>
      <x:c r="X188" s="75"/>
      <x:c r="Y188" s="75"/>
      <x:c r="Z188" s="75"/>
    </x:row>
    <x:row r="189">
      <x:c r="A189" s="75"/>
      <x:c r="B189" s="75"/>
      <x:c r="C189" s="75"/>
      <x:c r="D189" s="75"/>
      <x:c r="E189" s="75"/>
      <x:c r="F189" s="75"/>
      <x:c r="G189" s="75"/>
      <x:c r="H189" s="75"/>
      <x:c r="I189" s="75"/>
      <x:c r="J189" s="75"/>
      <x:c r="K189" s="75"/>
      <x:c r="L189" s="75"/>
      <x:c r="M189" s="75"/>
      <x:c r="N189" s="75"/>
      <x:c r="O189" s="75"/>
      <x:c r="P189" s="75"/>
      <x:c r="Q189" s="75"/>
      <x:c r="R189" s="75"/>
      <x:c r="S189" s="75"/>
      <x:c r="T189" s="75"/>
      <x:c r="U189" s="75"/>
      <x:c r="V189" s="75"/>
      <x:c r="W189" s="75"/>
      <x:c r="X189" s="75"/>
      <x:c r="Y189" s="75"/>
      <x:c r="Z189" s="75"/>
    </x:row>
    <x:row r="190">
      <x:c r="A190" s="75"/>
      <x:c r="B190" s="75"/>
      <x:c r="C190" s="75"/>
      <x:c r="D190" s="75"/>
      <x:c r="E190" s="75"/>
      <x:c r="F190" s="75"/>
      <x:c r="G190" s="75"/>
      <x:c r="H190" s="75"/>
      <x:c r="I190" s="75"/>
      <x:c r="J190" s="75"/>
      <x:c r="K190" s="75"/>
      <x:c r="L190" s="75"/>
      <x:c r="M190" s="75"/>
      <x:c r="N190" s="75"/>
      <x:c r="O190" s="75"/>
      <x:c r="P190" s="75"/>
      <x:c r="Q190" s="75"/>
      <x:c r="R190" s="75"/>
      <x:c r="S190" s="75"/>
      <x:c r="T190" s="75"/>
      <x:c r="U190" s="75"/>
      <x:c r="V190" s="75"/>
      <x:c r="W190" s="75"/>
      <x:c r="X190" s="75"/>
      <x:c r="Y190" s="75"/>
      <x:c r="Z190" s="75"/>
    </x:row>
    <x:row r="191">
      <x:c r="A191" s="75"/>
      <x:c r="B191" s="75"/>
      <x:c r="C191" s="75"/>
      <x:c r="D191" s="75"/>
      <x:c r="E191" s="75"/>
      <x:c r="F191" s="75"/>
      <x:c r="G191" s="75"/>
      <x:c r="H191" s="75"/>
      <x:c r="I191" s="75"/>
      <x:c r="J191" s="75"/>
      <x:c r="K191" s="75"/>
      <x:c r="L191" s="75"/>
      <x:c r="M191" s="75"/>
      <x:c r="N191" s="75"/>
      <x:c r="O191" s="75"/>
      <x:c r="P191" s="75"/>
      <x:c r="Q191" s="75"/>
      <x:c r="R191" s="75"/>
      <x:c r="S191" s="75"/>
      <x:c r="T191" s="75"/>
      <x:c r="U191" s="75"/>
      <x:c r="V191" s="75"/>
      <x:c r="W191" s="75"/>
      <x:c r="X191" s="75"/>
      <x:c r="Y191" s="75"/>
      <x:c r="Z191" s="75"/>
    </x:row>
    <x:row r="192">
      <x:c r="A192" s="75"/>
      <x:c r="B192" s="75"/>
      <x:c r="C192" s="75"/>
      <x:c r="D192" s="75"/>
      <x:c r="E192" s="75"/>
      <x:c r="F192" s="75"/>
      <x:c r="G192" s="75"/>
      <x:c r="H192" s="75"/>
      <x:c r="I192" s="75"/>
      <x:c r="J192" s="75"/>
      <x:c r="K192" s="75"/>
      <x:c r="L192" s="75"/>
      <x:c r="M192" s="75"/>
      <x:c r="N192" s="75"/>
      <x:c r="O192" s="75"/>
      <x:c r="P192" s="75"/>
      <x:c r="Q192" s="75"/>
      <x:c r="R192" s="75"/>
      <x:c r="S192" s="75"/>
      <x:c r="T192" s="75"/>
      <x:c r="U192" s="75"/>
      <x:c r="V192" s="75"/>
      <x:c r="W192" s="75"/>
      <x:c r="X192" s="75"/>
      <x:c r="Y192" s="75"/>
      <x:c r="Z192" s="75"/>
    </x:row>
    <x:row r="193">
      <x:c r="A193" s="75"/>
      <x:c r="B193" s="75"/>
      <x:c r="C193" s="75"/>
      <x:c r="D193" s="75"/>
      <x:c r="E193" s="75"/>
      <x:c r="F193" s="75"/>
      <x:c r="G193" s="75"/>
      <x:c r="H193" s="75"/>
      <x:c r="I193" s="75"/>
      <x:c r="J193" s="75"/>
      <x:c r="K193" s="75"/>
      <x:c r="L193" s="75"/>
      <x:c r="M193" s="75"/>
      <x:c r="N193" s="75"/>
      <x:c r="O193" s="75"/>
      <x:c r="P193" s="75"/>
      <x:c r="Q193" s="75"/>
      <x:c r="R193" s="75"/>
      <x:c r="S193" s="75"/>
      <x:c r="T193" s="75"/>
      <x:c r="U193" s="75"/>
      <x:c r="V193" s="75"/>
      <x:c r="W193" s="75"/>
      <x:c r="X193" s="75"/>
      <x:c r="Y193" s="75"/>
      <x:c r="Z193" s="75"/>
    </x:row>
    <x:row r="194">
      <x:c r="A194" s="75"/>
      <x:c r="B194" s="75"/>
      <x:c r="C194" s="75"/>
      <x:c r="D194" s="75"/>
      <x:c r="E194" s="75"/>
      <x:c r="F194" s="75"/>
      <x:c r="G194" s="75"/>
      <x:c r="H194" s="75"/>
      <x:c r="I194" s="75"/>
      <x:c r="J194" s="75"/>
      <x:c r="K194" s="75"/>
      <x:c r="L194" s="75"/>
      <x:c r="M194" s="75"/>
      <x:c r="N194" s="75"/>
      <x:c r="O194" s="75"/>
      <x:c r="P194" s="75"/>
      <x:c r="Q194" s="75"/>
      <x:c r="R194" s="75"/>
      <x:c r="S194" s="75"/>
      <x:c r="T194" s="75"/>
      <x:c r="U194" s="75"/>
      <x:c r="V194" s="75"/>
      <x:c r="W194" s="75"/>
      <x:c r="X194" s="75"/>
      <x:c r="Y194" s="75"/>
      <x:c r="Z194" s="75"/>
    </x:row>
    <x:row r="195">
      <x:c r="A195" s="75"/>
      <x:c r="B195" s="75"/>
      <x:c r="C195" s="75"/>
      <x:c r="D195" s="75"/>
      <x:c r="E195" s="75"/>
      <x:c r="F195" s="75"/>
      <x:c r="G195" s="75"/>
      <x:c r="H195" s="75"/>
      <x:c r="I195" s="75"/>
      <x:c r="J195" s="75"/>
      <x:c r="K195" s="75"/>
      <x:c r="L195" s="75"/>
      <x:c r="M195" s="75"/>
      <x:c r="N195" s="75"/>
      <x:c r="O195" s="75"/>
      <x:c r="P195" s="75"/>
      <x:c r="Q195" s="75"/>
      <x:c r="R195" s="75"/>
      <x:c r="S195" s="75"/>
      <x:c r="T195" s="75"/>
      <x:c r="U195" s="75"/>
      <x:c r="V195" s="75"/>
      <x:c r="W195" s="75"/>
      <x:c r="X195" s="75"/>
      <x:c r="Y195" s="75"/>
      <x:c r="Z195" s="75"/>
    </x:row>
    <x:row r="196">
      <x:c r="A196" s="75"/>
      <x:c r="B196" s="75"/>
      <x:c r="C196" s="75"/>
      <x:c r="D196" s="75"/>
      <x:c r="E196" s="75"/>
      <x:c r="F196" s="75"/>
      <x:c r="G196" s="75"/>
      <x:c r="H196" s="75"/>
      <x:c r="I196" s="75"/>
      <x:c r="J196" s="75"/>
      <x:c r="K196" s="75"/>
      <x:c r="L196" s="75"/>
      <x:c r="M196" s="75"/>
      <x:c r="N196" s="75"/>
      <x:c r="O196" s="75"/>
      <x:c r="P196" s="75"/>
      <x:c r="Q196" s="75"/>
      <x:c r="R196" s="75"/>
      <x:c r="S196" s="75"/>
      <x:c r="T196" s="75"/>
      <x:c r="U196" s="75"/>
      <x:c r="V196" s="75"/>
      <x:c r="W196" s="75"/>
      <x:c r="X196" s="75"/>
      <x:c r="Y196" s="75"/>
      <x:c r="Z196" s="75"/>
    </x:row>
    <x:row r="197">
      <x:c r="A197" s="75"/>
      <x:c r="B197" s="75"/>
      <x:c r="C197" s="75"/>
      <x:c r="D197" s="75"/>
      <x:c r="E197" s="75"/>
      <x:c r="F197" s="75"/>
      <x:c r="G197" s="75"/>
      <x:c r="H197" s="75"/>
      <x:c r="I197" s="75"/>
      <x:c r="J197" s="75"/>
      <x:c r="K197" s="75"/>
      <x:c r="L197" s="75"/>
      <x:c r="M197" s="75"/>
      <x:c r="N197" s="75"/>
      <x:c r="O197" s="75"/>
      <x:c r="P197" s="75"/>
      <x:c r="Q197" s="75"/>
      <x:c r="R197" s="75"/>
      <x:c r="S197" s="75"/>
      <x:c r="T197" s="75"/>
      <x:c r="U197" s="75"/>
      <x:c r="V197" s="75"/>
      <x:c r="W197" s="75"/>
      <x:c r="X197" s="75"/>
      <x:c r="Y197" s="75"/>
      <x:c r="Z197" s="75"/>
    </x:row>
    <x:row r="198">
      <x:c r="A198" s="75"/>
      <x:c r="B198" s="75"/>
      <x:c r="C198" s="75"/>
      <x:c r="D198" s="75"/>
      <x:c r="E198" s="75"/>
      <x:c r="F198" s="75"/>
      <x:c r="G198" s="75"/>
      <x:c r="H198" s="75"/>
      <x:c r="I198" s="75"/>
      <x:c r="J198" s="75"/>
      <x:c r="K198" s="75"/>
      <x:c r="L198" s="75"/>
      <x:c r="M198" s="75"/>
      <x:c r="N198" s="75"/>
      <x:c r="O198" s="75"/>
      <x:c r="P198" s="75"/>
      <x:c r="Q198" s="75"/>
      <x:c r="R198" s="75"/>
      <x:c r="S198" s="75"/>
      <x:c r="T198" s="75"/>
      <x:c r="U198" s="75"/>
      <x:c r="V198" s="75"/>
      <x:c r="W198" s="75"/>
      <x:c r="X198" s="75"/>
      <x:c r="Y198" s="75"/>
      <x:c r="Z198" s="75"/>
    </x:row>
    <x:row r="199">
      <x:c r="A199" s="75"/>
      <x:c r="B199" s="75"/>
      <x:c r="C199" s="75"/>
      <x:c r="D199" s="75"/>
      <x:c r="E199" s="75"/>
      <x:c r="F199" s="75"/>
      <x:c r="G199" s="75"/>
      <x:c r="H199" s="75"/>
      <x:c r="I199" s="75"/>
      <x:c r="J199" s="75"/>
      <x:c r="K199" s="75"/>
      <x:c r="L199" s="75"/>
      <x:c r="M199" s="75"/>
      <x:c r="N199" s="75"/>
      <x:c r="O199" s="75"/>
      <x:c r="P199" s="75"/>
      <x:c r="Q199" s="75"/>
      <x:c r="R199" s="75"/>
      <x:c r="S199" s="75"/>
      <x:c r="T199" s="75"/>
      <x:c r="U199" s="75"/>
      <x:c r="V199" s="75"/>
      <x:c r="W199" s="75"/>
      <x:c r="X199" s="75"/>
      <x:c r="Y199" s="75"/>
      <x:c r="Z199" s="75"/>
    </x:row>
    <x:row r="200">
      <x:c r="A200" s="75"/>
      <x:c r="B200" s="75"/>
      <x:c r="C200" s="75"/>
      <x:c r="D200" s="75"/>
      <x:c r="E200" s="75"/>
      <x:c r="F200" s="75"/>
      <x:c r="G200" s="75"/>
      <x:c r="H200" s="75"/>
      <x:c r="I200" s="75"/>
      <x:c r="J200" s="75"/>
      <x:c r="K200" s="75"/>
      <x:c r="L200" s="75"/>
      <x:c r="M200" s="75"/>
      <x:c r="N200" s="75"/>
      <x:c r="O200" s="75"/>
      <x:c r="P200" s="75"/>
      <x:c r="Q200" s="75"/>
      <x:c r="R200" s="75"/>
      <x:c r="S200" s="75"/>
      <x:c r="T200" s="75"/>
      <x:c r="U200" s="75"/>
      <x:c r="V200" s="75"/>
      <x:c r="W200" s="75"/>
      <x:c r="X200" s="75"/>
      <x:c r="Y200" s="75"/>
      <x:c r="Z200" s="75"/>
    </x:row>
  </x:sheetData>
  <x:mergeCells>
    <x:mergeCell ref="A1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44" hidden="0" customWidth="1"/>
    <x:col min="4" max="4" width="30" hidden="0" customWidth="1"/>
    <x:col min="5" max="5" width="22" hidden="0" customWidth="1"/>
    <x:col min="6" max="6" width="32" hidden="0" customWidth="1"/>
    <x:col min="7" max="7" width="20" hidden="0" customWidth="1"/>
    <x:col min="8" max="8" width="32" hidden="0" customWidth="1"/>
  </x:cols>
  <x:sheetData>
    <x:row r="1">
      <x:c r="A1" s="94" t="str">
        <x:v>V3.0 Scope &amp; Deliverables — live summary from the Approval Register</x:v>
      </x:c>
      <x:c r="B1" s="94"/>
      <x:c r="C1" s="94"/>
      <x:c r="D1" s="94"/>
      <x:c r="E1" s="94"/>
      <x:c r="F1" s="94"/>
      <x:c r="G1" s="94"/>
      <x:c r="H1" s="94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94"/>
      <x:c r="B2" s="94"/>
      <x:c r="C2" s="94"/>
      <x:c r="D2" s="94"/>
      <x:c r="E2" s="94"/>
      <x:c r="F2" s="94"/>
      <x:c r="G2" s="94"/>
      <x:c r="H2" s="94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  <x:c r="S3" s="75"/>
      <x:c r="T3" s="75"/>
      <x:c r="U3" s="75"/>
      <x:c r="V3" s="75"/>
      <x:c r="W3" s="75"/>
      <x:c r="X3" s="75"/>
      <x:c r="Y3" s="75"/>
      <x:c r="Z3" s="75"/>
    </x:row>
    <x:row r="4">
      <x:c r="A4" s="96" t="str">
        <x:v>ID</x:v>
      </x:c>
      <x:c r="B4" s="96" t="str">
        <x:v>Type</x:v>
      </x:c>
      <x:c r="C4" s="96" t="str">
        <x:v>Chapter / Deliverable</x:v>
      </x:c>
      <x:c r="D4" s="96" t="str">
        <x:v>Recommended</x:v>
      </x:c>
      <x:c r="E4" s="96" t="str">
        <x:v>Response</x:v>
      </x:c>
      <x:c r="F4" s="96" t="str">
        <x:v>Final Decision</x:v>
      </x:c>
      <x:c r="G4" s="96" t="str">
        <x:v>Status</x:v>
      </x:c>
      <x:c r="H4" s="96" t="str">
        <x:v>Dependency / Note</x:v>
      </x:c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38" customHeight="1">
      <x:c r="A5" s="97" t="str">
        <x:v>Z01</x:v>
      </x:c>
      <x:c r="B5" s="97" t="str">
        <x:v>V3.0 Chapter</x:v>
      </x:c>
      <x:c r="C5" s="97" t="str">
        <x:f>'Approval Register'!D377</x:f>
        <x:v>Include 01 — Introduction &amp; Governance chapter?</x:v>
      </x:c>
      <x:c r="D5" s="97" t="str">
        <x:f>'Approval Register'!E377</x:f>
        <x:v>Yes</x:v>
      </x:c>
      <x:c r="E5" s="97" t="str">
        <x:f>'Approval Register'!F377</x:f>
        <x:v>Approve recommendation</x:v>
      </x:c>
      <x:c r="F5" s="97" t="str">
        <x:f>'Approval Register'!H377</x:f>
        <x:v>Yes</x:v>
      </x:c>
      <x:c r="G5" s="97" t="str">
        <x:f>'Approval Register'!I377</x:f>
        <x:v>Approved</x:v>
      </x:c>
      <x:c r="H5" s="97" t="str">
        <x:v>Resolve dependent decisions/evidence before release.</x:v>
      </x:c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38" customHeight="1">
      <x:c r="A6" s="97" t="str">
        <x:v>Z02</x:v>
      </x:c>
      <x:c r="B6" s="97" t="str">
        <x:v>V3.0 Chapter</x:v>
      </x:c>
      <x:c r="C6" s="97" t="str">
        <x:f>'Approval Register'!D378</x:f>
        <x:v>Include 02 — Brand Strategy chapter?</x:v>
      </x:c>
      <x:c r="D6" s="97" t="str">
        <x:f>'Approval Register'!E378</x:f>
        <x:v>Yes</x:v>
      </x:c>
      <x:c r="E6" s="97" t="str">
        <x:f>'Approval Register'!F378</x:f>
        <x:v>Approve recommendation</x:v>
      </x:c>
      <x:c r="F6" s="97" t="str">
        <x:f>'Approval Register'!H378</x:f>
        <x:v>Yes</x:v>
      </x:c>
      <x:c r="G6" s="97" t="str">
        <x:f>'Approval Register'!I378</x:f>
        <x:v>Approved</x:v>
      </x:c>
      <x:c r="H6" s="97" t="str">
        <x:v>Resolve dependent decisions/evidence before release.</x:v>
      </x:c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38" customHeight="1">
      <x:c r="A7" s="97" t="str">
        <x:v>Z03</x:v>
      </x:c>
      <x:c r="B7" s="97" t="str">
        <x:v>V3.0 Chapter</x:v>
      </x:c>
      <x:c r="C7" s="97" t="str">
        <x:f>'Approval Register'!D379</x:f>
        <x:v>Include 03 — Brand Architecture chapter?</x:v>
      </x:c>
      <x:c r="D7" s="97" t="str">
        <x:f>'Approval Register'!E379</x:f>
        <x:v>Yes</x:v>
      </x:c>
      <x:c r="E7" s="97" t="str">
        <x:f>'Approval Register'!F379</x:f>
        <x:v>Approve recommendation</x:v>
      </x:c>
      <x:c r="F7" s="97" t="str">
        <x:f>'Approval Register'!H379</x:f>
        <x:v>Yes</x:v>
      </x:c>
      <x:c r="G7" s="97" t="str">
        <x:f>'Approval Register'!I379</x:f>
        <x:v>Approved</x:v>
      </x:c>
      <x:c r="H7" s="97" t="str">
        <x:v>Resolve dependent decisions/evidence before release.</x:v>
      </x:c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38" customHeight="1">
      <x:c r="A8" s="97" t="str">
        <x:v>Z04</x:v>
      </x:c>
      <x:c r="B8" s="97" t="str">
        <x:v>V3.0 Chapter</x:v>
      </x:c>
      <x:c r="C8" s="97" t="str">
        <x:f>'Approval Register'!D380</x:f>
        <x:v>Include 04 — Audience &amp; Journey chapter?</x:v>
      </x:c>
      <x:c r="D8" s="97" t="str">
        <x:f>'Approval Register'!E380</x:f>
        <x:v>Yes</x:v>
      </x:c>
      <x:c r="E8" s="97" t="str">
        <x:f>'Approval Register'!F380</x:f>
        <x:v>Approve recommendation</x:v>
      </x:c>
      <x:c r="F8" s="97" t="str">
        <x:f>'Approval Register'!H380</x:f>
        <x:v>Yes</x:v>
      </x:c>
      <x:c r="G8" s="97" t="str">
        <x:f>'Approval Register'!I380</x:f>
        <x:v>Approved</x:v>
      </x:c>
      <x:c r="H8" s="97" t="str">
        <x:v>Resolve dependent decisions/evidence before release.</x:v>
      </x:c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38" customHeight="1">
      <x:c r="A9" s="97" t="str">
        <x:v>Z05</x:v>
      </x:c>
      <x:c r="B9" s="97" t="str">
        <x:v>V3.0 Chapter</x:v>
      </x:c>
      <x:c r="C9" s="97" t="str">
        <x:f>'Approval Register'!D381</x:f>
        <x:v>Include 05 — Verbal Identity chapter?</x:v>
      </x:c>
      <x:c r="D9" s="97" t="str">
        <x:f>'Approval Register'!E381</x:f>
        <x:v>Yes</x:v>
      </x:c>
      <x:c r="E9" s="97" t="str">
        <x:f>'Approval Register'!F381</x:f>
        <x:v>Approve recommendation</x:v>
      </x:c>
      <x:c r="F9" s="97" t="str">
        <x:f>'Approval Register'!H381</x:f>
        <x:v>Yes</x:v>
      </x:c>
      <x:c r="G9" s="97" t="str">
        <x:f>'Approval Register'!I381</x:f>
        <x:v>Approved</x:v>
      </x:c>
      <x:c r="H9" s="97" t="str">
        <x:v>Resolve dependent decisions/evidence before release.</x:v>
      </x:c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38" customHeight="1">
      <x:c r="A10" s="97" t="str">
        <x:v>Z06</x:v>
      </x:c>
      <x:c r="B10" s="97" t="str">
        <x:v>V3.0 Chapter</x:v>
      </x:c>
      <x:c r="C10" s="97" t="str">
        <x:f>'Approval Register'!D382</x:f>
        <x:v>Include 06 — Logo System chapter?</x:v>
      </x:c>
      <x:c r="D10" s="97" t="str">
        <x:f>'Approval Register'!E382</x:f>
        <x:v>Yes</x:v>
      </x:c>
      <x:c r="E10" s="97" t="str">
        <x:f>'Approval Register'!F382</x:f>
        <x:v>Approve recommendation</x:v>
      </x:c>
      <x:c r="F10" s="97" t="str">
        <x:f>'Approval Register'!H382</x:f>
        <x:v>Yes</x:v>
      </x:c>
      <x:c r="G10" s="97" t="str">
        <x:f>'Approval Register'!I382</x:f>
        <x:v>Approved</x:v>
      </x:c>
      <x:c r="H10" s="97" t="str">
        <x:v>Resolve dependent decisions/evidence before release.</x:v>
      </x:c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38" customHeight="1">
      <x:c r="A11" s="97" t="str">
        <x:v>Z07</x:v>
      </x:c>
      <x:c r="B11" s="97" t="str">
        <x:v>V3.0 Chapter</x:v>
      </x:c>
      <x:c r="C11" s="97" t="str">
        <x:f>'Approval Register'!D383</x:f>
        <x:v>Include 07 — Color chapter?</x:v>
      </x:c>
      <x:c r="D11" s="97" t="str">
        <x:f>'Approval Register'!E383</x:f>
        <x:v>Yes</x:v>
      </x:c>
      <x:c r="E11" s="97" t="str">
        <x:f>'Approval Register'!F383</x:f>
        <x:v>Approve recommendation</x:v>
      </x:c>
      <x:c r="F11" s="97" t="str">
        <x:f>'Approval Register'!H383</x:f>
        <x:v>Yes</x:v>
      </x:c>
      <x:c r="G11" s="97" t="str">
        <x:f>'Approval Register'!I383</x:f>
        <x:v>Approved</x:v>
      </x:c>
      <x:c r="H11" s="97" t="str">
        <x:v>Resolve dependent decisions/evidence before release.</x:v>
      </x:c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38" customHeight="1">
      <x:c r="A12" s="97" t="str">
        <x:v>Z08</x:v>
      </x:c>
      <x:c r="B12" s="97" t="str">
        <x:v>V3.0 Chapter</x:v>
      </x:c>
      <x:c r="C12" s="97" t="str">
        <x:f>'Approval Register'!D384</x:f>
        <x:v>Include 08 — Typography chapter?</x:v>
      </x:c>
      <x:c r="D12" s="97" t="str">
        <x:f>'Approval Register'!E384</x:f>
        <x:v>Yes</x:v>
      </x:c>
      <x:c r="E12" s="97" t="str">
        <x:f>'Approval Register'!F384</x:f>
        <x:v>Approve recommendation</x:v>
      </x:c>
      <x:c r="F12" s="97" t="str">
        <x:f>'Approval Register'!H384</x:f>
        <x:v>Yes</x:v>
      </x:c>
      <x:c r="G12" s="97" t="str">
        <x:f>'Approval Register'!I384</x:f>
        <x:v>Approved</x:v>
      </x:c>
      <x:c r="H12" s="97" t="str">
        <x:v>Resolve dependent decisions/evidence before release.</x:v>
      </x:c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38" customHeight="1">
      <x:c r="A13" s="97" t="str">
        <x:v>Z09</x:v>
      </x:c>
      <x:c r="B13" s="97" t="str">
        <x:v>V3.0 Chapter</x:v>
      </x:c>
      <x:c r="C13" s="97" t="str">
        <x:f>'Approval Register'!D385</x:f>
        <x:v>Include 09 — Arabic &amp; Bilingual System chapter?</x:v>
      </x:c>
      <x:c r="D13" s="97" t="str">
        <x:f>'Approval Register'!E385</x:f>
        <x:v>Yes</x:v>
      </x:c>
      <x:c r="E13" s="97" t="str">
        <x:f>'Approval Register'!F385</x:f>
        <x:v>Approve recommendation</x:v>
      </x:c>
      <x:c r="F13" s="97" t="str">
        <x:f>'Approval Register'!H385</x:f>
        <x:v>Yes</x:v>
      </x:c>
      <x:c r="G13" s="97" t="str">
        <x:f>'Approval Register'!I385</x:f>
        <x:v>Approved</x:v>
      </x:c>
      <x:c r="H13" s="97" t="str">
        <x:v>Resolve dependent decisions/evidence before release.</x:v>
      </x:c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38" customHeight="1">
      <x:c r="A14" s="97" t="str">
        <x:v>Z10</x:v>
      </x:c>
      <x:c r="B14" s="97" t="str">
        <x:v>V3.0 Chapter</x:v>
      </x:c>
      <x:c r="C14" s="97" t="str">
        <x:f>'Approval Register'!D386</x:f>
        <x:v>Include 10 — Graphic Language chapter?</x:v>
      </x:c>
      <x:c r="D14" s="97" t="str">
        <x:f>'Approval Register'!E386</x:f>
        <x:v>Yes</x:v>
      </x:c>
      <x:c r="E14" s="97" t="str">
        <x:f>'Approval Register'!F386</x:f>
        <x:v>Approve recommendation</x:v>
      </x:c>
      <x:c r="F14" s="97" t="str">
        <x:f>'Approval Register'!H386</x:f>
        <x:v>Yes</x:v>
      </x:c>
      <x:c r="G14" s="97" t="str">
        <x:f>'Approval Register'!I386</x:f>
        <x:v>Approved</x:v>
      </x:c>
      <x:c r="H14" s="97" t="str">
        <x:v>Resolve dependent decisions/evidence before release.</x:v>
      </x:c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 ht="38" customHeight="1">
      <x:c r="A15" s="97" t="str">
        <x:v>Z11</x:v>
      </x:c>
      <x:c r="B15" s="97" t="str">
        <x:v>V3.0 Chapter</x:v>
      </x:c>
      <x:c r="C15" s="97" t="str">
        <x:f>'Approval Register'!D387</x:f>
        <x:v>Include 11 — Iconography chapter?</x:v>
      </x:c>
      <x:c r="D15" s="97" t="str">
        <x:f>'Approval Register'!E387</x:f>
        <x:v>Yes</x:v>
      </x:c>
      <x:c r="E15" s="97" t="str">
        <x:f>'Approval Register'!F387</x:f>
        <x:v>Modify / custom answer</x:v>
      </x:c>
      <x:c r="F15" s="97" t="str">
        <x:f>'Approval Register'!H387</x:f>
        <x:v>Yes — title the chapter 'Functional Glyph System' or 'Iconography &amp; Functional Glyphs'. Do not create a decorative icon library.</x:v>
      </x:c>
      <x:c r="G15" s="97" t="str">
        <x:f>'Approval Register'!I387</x:f>
        <x:v>Approved with modification</x:v>
      </x:c>
      <x:c r="H15" s="97" t="str">
        <x:v>Resolve dependent decisions/evidence before release.</x:v>
      </x:c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 ht="38" customHeight="1">
      <x:c r="A16" s="97" t="str">
        <x:v>Z12</x:v>
      </x:c>
      <x:c r="B16" s="97" t="str">
        <x:v>V3.0 Chapter</x:v>
      </x:c>
      <x:c r="C16" s="97" t="str">
        <x:f>'Approval Register'!D388</x:f>
        <x:v>Include 12 — Photography &amp; Art Direction chapter?</x:v>
      </x:c>
      <x:c r="D16" s="97" t="str">
        <x:f>'Approval Register'!E388</x:f>
        <x:v>Yes</x:v>
      </x:c>
      <x:c r="E16" s="97" t="str">
        <x:f>'Approval Register'!F388</x:f>
        <x:v>Approve recommendation</x:v>
      </x:c>
      <x:c r="F16" s="97" t="str">
        <x:f>'Approval Register'!H388</x:f>
        <x:v>Yes</x:v>
      </x:c>
      <x:c r="G16" s="97" t="str">
        <x:f>'Approval Register'!I388</x:f>
        <x:v>Approved</x:v>
      </x:c>
      <x:c r="H16" s="97" t="str">
        <x:v>Resolve dependent decisions/evidence before release.</x:v>
      </x:c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 ht="38" customHeight="1">
      <x:c r="A17" s="97" t="str">
        <x:v>Z13</x:v>
      </x:c>
      <x:c r="B17" s="97" t="str">
        <x:v>V3.0 Chapter</x:v>
      </x:c>
      <x:c r="C17" s="97" t="str">
        <x:f>'Approval Register'!D389</x:f>
        <x:v>Include 13 — Motion chapter?</x:v>
      </x:c>
      <x:c r="D17" s="97" t="str">
        <x:f>'Approval Register'!E389</x:f>
        <x:v>Yes</x:v>
      </x:c>
      <x:c r="E17" s="97" t="str">
        <x:f>'Approval Register'!F389</x:f>
        <x:v>Approve recommendation</x:v>
      </x:c>
      <x:c r="F17" s="97" t="str">
        <x:f>'Approval Register'!H389</x:f>
        <x:v>Yes</x:v>
      </x:c>
      <x:c r="G17" s="97" t="str">
        <x:f>'Approval Register'!I389</x:f>
        <x:v>Approved</x:v>
      </x:c>
      <x:c r="H17" s="97" t="str">
        <x:v>Resolve dependent decisions/evidence before release.</x:v>
      </x:c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 ht="38" customHeight="1">
      <x:c r="A18" s="97" t="str">
        <x:v>Z14</x:v>
      </x:c>
      <x:c r="B18" s="97" t="str">
        <x:v>V3.0 Chapter</x:v>
      </x:c>
      <x:c r="C18" s="97" t="str">
        <x:f>'Approval Register'!D390</x:f>
        <x:v>Include 14 — Digital Product/UI chapter?</x:v>
      </x:c>
      <x:c r="D18" s="97" t="str">
        <x:f>'Approval Register'!E390</x:f>
        <x:v>Yes</x:v>
      </x:c>
      <x:c r="E18" s="97" t="str">
        <x:f>'Approval Register'!F390</x:f>
        <x:v>Approve recommendation</x:v>
      </x:c>
      <x:c r="F18" s="97" t="str">
        <x:f>'Approval Register'!H390</x:f>
        <x:v>Yes</x:v>
      </x:c>
      <x:c r="G18" s="97" t="str">
        <x:f>'Approval Register'!I390</x:f>
        <x:v>Approved</x:v>
      </x:c>
      <x:c r="H18" s="97" t="str">
        <x:v>Resolve dependent decisions/evidence before release.</x:v>
      </x:c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 ht="38" customHeight="1">
      <x:c r="A19" s="97" t="str">
        <x:v>Z15</x:v>
      </x:c>
      <x:c r="B19" s="97" t="str">
        <x:v>V3.0 Chapter</x:v>
      </x:c>
      <x:c r="C19" s="97" t="str">
        <x:f>'Approval Register'!D391</x:f>
        <x:v>Include 15 — Guest Experience Applications chapter?</x:v>
      </x:c>
      <x:c r="D19" s="97" t="str">
        <x:f>'Approval Register'!E391</x:f>
        <x:v>Yes</x:v>
      </x:c>
      <x:c r="E19" s="97" t="str">
        <x:f>'Approval Register'!F391</x:f>
        <x:v>Approve recommendation</x:v>
      </x:c>
      <x:c r="F19" s="97" t="str">
        <x:f>'Approval Register'!H391</x:f>
        <x:v>Yes</x:v>
      </x:c>
      <x:c r="G19" s="97" t="str">
        <x:f>'Approval Register'!I391</x:f>
        <x:v>Approved</x:v>
      </x:c>
      <x:c r="H19" s="97" t="str">
        <x:v>Resolve dependent decisions/evidence before release.</x:v>
      </x:c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 ht="38" customHeight="1">
      <x:c r="A20" s="97" t="str">
        <x:v>Z16</x:v>
      </x:c>
      <x:c r="B20" s="97" t="str">
        <x:v>V3.0 Chapter</x:v>
      </x:c>
      <x:c r="C20" s="97" t="str">
        <x:f>'Approval Register'!D392</x:f>
        <x:v>Include 16 — Wayfinding &amp; Environmental Identity chapter?</x:v>
      </x:c>
      <x:c r="D20" s="97" t="str">
        <x:f>'Approval Register'!E392</x:f>
        <x:v>Yes</x:v>
      </x:c>
      <x:c r="E20" s="97" t="str">
        <x:f>'Approval Register'!F392</x:f>
        <x:v>Approve recommendation</x:v>
      </x:c>
      <x:c r="F20" s="97" t="str">
        <x:f>'Approval Register'!H392</x:f>
        <x:v>Yes</x:v>
      </x:c>
      <x:c r="G20" s="97" t="str">
        <x:f>'Approval Register'!I392</x:f>
        <x:v>Approved</x:v>
      </x:c>
      <x:c r="H20" s="97" t="str">
        <x:v>Resolve dependent decisions/evidence before release.</x:v>
      </x:c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 ht="38" customHeight="1">
      <x:c r="A21" s="97" t="str">
        <x:v>Z17</x:v>
      </x:c>
      <x:c r="B21" s="97" t="str">
        <x:v>V3.0 Chapter</x:v>
      </x:c>
      <x:c r="C21" s="97" t="str">
        <x:f>'Approval Register'!D393</x:f>
        <x:v>Include 17 — Amenities &amp; Packaging chapter?</x:v>
      </x:c>
      <x:c r="D21" s="97" t="str">
        <x:f>'Approval Register'!E393</x:f>
        <x:v>Yes</x:v>
      </x:c>
      <x:c r="E21" s="97" t="str">
        <x:f>'Approval Register'!F393</x:f>
        <x:v>Approve recommendation</x:v>
      </x:c>
      <x:c r="F21" s="97" t="str">
        <x:f>'Approval Register'!H393</x:f>
        <x:v>Yes</x:v>
      </x:c>
      <x:c r="G21" s="97" t="str">
        <x:f>'Approval Register'!I393</x:f>
        <x:v>Approved</x:v>
      </x:c>
      <x:c r="H21" s="97" t="str">
        <x:v>Resolve dependent decisions/evidence before release.</x:v>
      </x:c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 ht="38" customHeight="1">
      <x:c r="A22" s="97" t="str">
        <x:v>Z18</x:v>
      </x:c>
      <x:c r="B22" s="97" t="str">
        <x:v>V3.0 Chapter</x:v>
      </x:c>
      <x:c r="C22" s="97" t="str">
        <x:f>'Approval Register'!D394</x:f>
        <x:v>Include 18 — Print &amp; Production chapter?</x:v>
      </x:c>
      <x:c r="D22" s="97" t="str">
        <x:f>'Approval Register'!E394</x:f>
        <x:v>Yes</x:v>
      </x:c>
      <x:c r="E22" s="97" t="str">
        <x:f>'Approval Register'!F394</x:f>
        <x:v>Approve recommendation</x:v>
      </x:c>
      <x:c r="F22" s="97" t="str">
        <x:f>'Approval Register'!H394</x:f>
        <x:v>Yes</x:v>
      </x:c>
      <x:c r="G22" s="97" t="str">
        <x:f>'Approval Register'!I394</x:f>
        <x:v>Approved</x:v>
      </x:c>
      <x:c r="H22" s="97" t="str">
        <x:v>Resolve dependent decisions/evidence before release.</x:v>
      </x:c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 ht="38" customHeight="1">
      <x:c r="A23" s="97" t="str">
        <x:v>Z19</x:v>
      </x:c>
      <x:c r="B23" s="97" t="str">
        <x:v>V3.0 Chapter</x:v>
      </x:c>
      <x:c r="C23" s="97" t="str">
        <x:f>'Approval Register'!D395</x:f>
        <x:v>Include 19 — Accessibility chapter?</x:v>
      </x:c>
      <x:c r="D23" s="97" t="str">
        <x:f>'Approval Register'!E395</x:f>
        <x:v>Yes</x:v>
      </x:c>
      <x:c r="E23" s="97" t="str">
        <x:f>'Approval Register'!F395</x:f>
        <x:v>Approve recommendation</x:v>
      </x:c>
      <x:c r="F23" s="97" t="str">
        <x:f>'Approval Register'!H395</x:f>
        <x:v>Yes</x:v>
      </x:c>
      <x:c r="G23" s="97" t="str">
        <x:f>'Approval Register'!I395</x:f>
        <x:v>Approved</x:v>
      </x:c>
      <x:c r="H23" s="97" t="str">
        <x:v>Resolve dependent decisions/evidence before release.</x:v>
      </x:c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 ht="38" customHeight="1">
      <x:c r="A24" s="97" t="str">
        <x:v>Z20</x:v>
      </x:c>
      <x:c r="B24" s="97" t="str">
        <x:v>V3.0 Chapter</x:v>
      </x:c>
      <x:c r="C24" s="97" t="str">
        <x:f>'Approval Register'!D396</x:f>
        <x:v>Include 20 — Templates &amp; Asset Library chapter?</x:v>
      </x:c>
      <x:c r="D24" s="97" t="str">
        <x:f>'Approval Register'!E396</x:f>
        <x:v>Yes</x:v>
      </x:c>
      <x:c r="E24" s="97" t="str">
        <x:f>'Approval Register'!F396</x:f>
        <x:v>Approve recommendation</x:v>
      </x:c>
      <x:c r="F24" s="97" t="str">
        <x:f>'Approval Register'!H396</x:f>
        <x:v>Yes</x:v>
      </x:c>
      <x:c r="G24" s="97" t="str">
        <x:f>'Approval Register'!I396</x:f>
        <x:v>Approved</x:v>
      </x:c>
      <x:c r="H24" s="97" t="str">
        <x:v>Resolve dependent decisions/evidence before release.</x:v>
      </x:c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 ht="38" customHeight="1">
      <x:c r="A25" s="97" t="str">
        <x:v>Z21</x:v>
      </x:c>
      <x:c r="B25" s="97" t="str">
        <x:v>V3.0 Chapter</x:v>
      </x:c>
      <x:c r="C25" s="97" t="str">
        <x:f>'Approval Register'!D397</x:f>
        <x:v>Include 21 — Governance &amp; Approval Workflow chapter?</x:v>
      </x:c>
      <x:c r="D25" s="97" t="str">
        <x:f>'Approval Register'!E397</x:f>
        <x:v>Yes</x:v>
      </x:c>
      <x:c r="E25" s="97" t="str">
        <x:f>'Approval Register'!F397</x:f>
        <x:v>Approve recommendation</x:v>
      </x:c>
      <x:c r="F25" s="97" t="str">
        <x:f>'Approval Register'!H397</x:f>
        <x:v>Yes</x:v>
      </x:c>
      <x:c r="G25" s="97" t="str">
        <x:f>'Approval Register'!I397</x:f>
        <x:v>Approved</x:v>
      </x:c>
      <x:c r="H25" s="97" t="str">
        <x:v>Resolve dependent decisions/evidence before release.</x:v>
      </x:c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 ht="38" customHeight="1">
      <x:c r="A26" s="97" t="str">
        <x:v>Z22</x:v>
      </x:c>
      <x:c r="B26" s="97" t="str">
        <x:v>V3.0 Chapter</x:v>
      </x:c>
      <x:c r="C26" s="97" t="str">
        <x:f>'Approval Register'!D398</x:f>
        <x:v>Include 22 — Technical Specifications chapter?</x:v>
      </x:c>
      <x:c r="D26" s="97" t="str">
        <x:f>'Approval Register'!E398</x:f>
        <x:v>Yes — keep high-level specifications and handoff rules here; place deep component/API and supplier-production detail in the separate Digital Design System and Production Standards.</x:v>
      </x:c>
      <x:c r="E26" s="97" t="str">
        <x:f>'Approval Register'!F398</x:f>
        <x:v>Approve recommendation</x:v>
      </x:c>
      <x:c r="F26" s="97" t="str">
        <x:f>'Approval Register'!H398</x:f>
        <x:v>Yes — keep high-level specifications and handoff rules here; place deep component/API and supplier-production detail in the separate Digital Design System and Production Standards.</x:v>
      </x:c>
      <x:c r="G26" s="97" t="str">
        <x:f>'Approval Register'!I398</x:f>
        <x:v>Approved</x:v>
      </x:c>
      <x:c r="H26" s="97" t="str">
        <x:v>Resolve dependent decisions/evidence before release.</x:v>
      </x:c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 ht="38" customHeight="1">
      <x:c r="A27" s="97" t="str">
        <x:v>Z23</x:v>
      </x:c>
      <x:c r="B27" s="97" t="str">
        <x:v>V3.0 Chapter</x:v>
      </x:c>
      <x:c r="C27" s="97" t="str">
        <x:f>'Approval Register'!D399</x:f>
        <x:v>Include Appendix — Master Asset Index?</x:v>
      </x:c>
      <x:c r="D27" s="97" t="str">
        <x:f>'Approval Register'!E399</x:f>
        <x:v>Yes</x:v>
      </x:c>
      <x:c r="E27" s="97" t="str">
        <x:f>'Approval Register'!F399</x:f>
        <x:v>Approve recommendation</x:v>
      </x:c>
      <x:c r="F27" s="97" t="str">
        <x:f>'Approval Register'!H399</x:f>
        <x:v>Yes</x:v>
      </x:c>
      <x:c r="G27" s="97" t="str">
        <x:f>'Approval Register'!I399</x:f>
        <x:v>Approved</x:v>
      </x:c>
      <x:c r="H27" s="97" t="str">
        <x:v>Resolve dependent decisions/evidence before release.</x:v>
      </x:c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 ht="38" customHeight="1">
      <x:c r="A28" s="97" t="str">
        <x:v>Z24</x:v>
      </x:c>
      <x:c r="B28" s="97" t="str">
        <x:v>V3.0 Chapter</x:v>
      </x:c>
      <x:c r="C28" s="97" t="str">
        <x:f>'Approval Register'!D400</x:f>
        <x:v>Include Appendix — Change Log?</x:v>
      </x:c>
      <x:c r="D28" s="97" t="str">
        <x:f>'Approval Register'!E400</x:f>
        <x:v>Yes</x:v>
      </x:c>
      <x:c r="E28" s="97" t="str">
        <x:f>'Approval Register'!F400</x:f>
        <x:v>Approve recommendation</x:v>
      </x:c>
      <x:c r="F28" s="97" t="str">
        <x:f>'Approval Register'!H400</x:f>
        <x:v>Yes</x:v>
      </x:c>
      <x:c r="G28" s="97" t="str">
        <x:f>'Approval Register'!I400</x:f>
        <x:v>Approved</x:v>
      </x:c>
      <x:c r="H28" s="97" t="str">
        <x:v>Resolve dependent decisions/evidence before release.</x:v>
      </x:c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 ht="38" customHeight="1">
      <x:c r="A29" s="97" t="str">
        <x:v>AB01</x:v>
      </x:c>
      <x:c r="B29" s="97" t="str">
        <x:v>Final Deliverable</x:v>
      </x:c>
      <x:c r="C29" s="97" t="str">
        <x:f>'Approval Register'!D405</x:f>
        <x:v>Final deliverable: GEM™ Brand Guidelines V3.0 — editable PPTX</x:v>
      </x:c>
      <x:c r="D29" s="97" t="str">
        <x:f>'Approval Register'!E405</x:f>
        <x:v>Yes</x:v>
      </x:c>
      <x:c r="E29" s="97" t="str">
        <x:f>'Approval Register'!F405</x:f>
        <x:v>Approve recommendation</x:v>
      </x:c>
      <x:c r="F29" s="97" t="str">
        <x:f>'Approval Register'!H405</x:f>
        <x:v>Yes</x:v>
      </x:c>
      <x:c r="G29" s="97" t="str">
        <x:f>'Approval Register'!I405</x:f>
        <x:v>Approved</x:v>
      </x:c>
      <x:c r="H29" s="97" t="str">
        <x:v>Resolve dependent decisions/evidence before release.</x:v>
      </x:c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 ht="38" customHeight="1">
      <x:c r="A30" s="97" t="str">
        <x:v>AB02</x:v>
      </x:c>
      <x:c r="B30" s="97" t="str">
        <x:v>Final Deliverable</x:v>
      </x:c>
      <x:c r="C30" s="97" t="str">
        <x:f>'Approval Register'!D406</x:f>
        <x:v>Final deliverable: GEM™ Brand Guidelines V3.0 — controlled PDF</x:v>
      </x:c>
      <x:c r="D30" s="97" t="str">
        <x:f>'Approval Register'!E406</x:f>
        <x:v>Yes</x:v>
      </x:c>
      <x:c r="E30" s="97" t="str">
        <x:f>'Approval Register'!F406</x:f>
        <x:v>Approve recommendation</x:v>
      </x:c>
      <x:c r="F30" s="97" t="str">
        <x:f>'Approval Register'!H406</x:f>
        <x:v>Yes</x:v>
      </x:c>
      <x:c r="G30" s="97" t="str">
        <x:f>'Approval Register'!I406</x:f>
        <x:v>Approved</x:v>
      </x:c>
      <x:c r="H30" s="97" t="str">
        <x:v>Resolve dependent decisions/evidence before release.</x:v>
      </x:c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 ht="38" customHeight="1">
      <x:c r="A31" s="97" t="str">
        <x:v>AB03</x:v>
      </x:c>
      <x:c r="B31" s="97" t="str">
        <x:v>Final Deliverable</x:v>
      </x:c>
      <x:c r="C31" s="97" t="str">
        <x:f>'Approval Register'!D407</x:f>
        <x:v>Final deliverable: Master logo package</x:v>
      </x:c>
      <x:c r="D31" s="97" t="str">
        <x:f>'Approval Register'!E407</x:f>
        <x:v>Yes</x:v>
      </x:c>
      <x:c r="E31" s="97" t="str">
        <x:f>'Approval Register'!F407</x:f>
        <x:v>Approve recommendation</x:v>
      </x:c>
      <x:c r="F31" s="97" t="str">
        <x:f>'Approval Register'!H407</x:f>
        <x:v>Yes</x:v>
      </x:c>
      <x:c r="G31" s="97" t="str">
        <x:f>'Approval Register'!I407</x:f>
        <x:v>Approved</x:v>
      </x:c>
      <x:c r="H31" s="97" t="str">
        <x:v>Resolve dependent decisions/evidence before release.</x:v>
      </x:c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 ht="38" customHeight="1">
      <x:c r="A32" s="97" t="str">
        <x:v>AB04</x:v>
      </x:c>
      <x:c r="B32" s="97" t="str">
        <x:v>Final Deliverable</x:v>
      </x:c>
      <x:c r="C32" s="97" t="str">
        <x:f>'Approval Register'!D408</x:f>
        <x:v>Final deliverable: Brand font package / license references</x:v>
      </x:c>
      <x:c r="D32" s="97" t="str">
        <x:f>'Approval Register'!E408</x:f>
        <x:v>Yes</x:v>
      </x:c>
      <x:c r="E32" s="97" t="str">
        <x:f>'Approval Register'!F408</x:f>
        <x:v>Approve recommendation</x:v>
      </x:c>
      <x:c r="F32" s="97" t="str">
        <x:f>'Approval Register'!H408</x:f>
        <x:v>Yes</x:v>
      </x:c>
      <x:c r="G32" s="97" t="str">
        <x:f>'Approval Register'!I408</x:f>
        <x:v>Approved</x:v>
      </x:c>
      <x:c r="H32" s="97" t="str">
        <x:v>Resolve dependent decisions/evidence before release.</x:v>
      </x:c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 ht="38" customHeight="1">
      <x:c r="A33" s="97" t="str">
        <x:v>AB05</x:v>
      </x:c>
      <x:c r="B33" s="97" t="str">
        <x:v>Final Deliverable</x:v>
      </x:c>
      <x:c r="C33" s="97" t="str">
        <x:f>'Approval Register'!D409</x:f>
        <x:v>Final deliverable: Color specification sheet</x:v>
      </x:c>
      <x:c r="D33" s="97" t="str">
        <x:f>'Approval Register'!E409</x:f>
        <x:v>Yes</x:v>
      </x:c>
      <x:c r="E33" s="97" t="str">
        <x:f>'Approval Register'!F409</x:f>
        <x:v>Approve recommendation</x:v>
      </x:c>
      <x:c r="F33" s="97" t="str">
        <x:f>'Approval Register'!H409</x:f>
        <x:v>Yes</x:v>
      </x:c>
      <x:c r="G33" s="97" t="str">
        <x:f>'Approval Register'!I409</x:f>
        <x:v>Approved</x:v>
      </x:c>
      <x:c r="H33" s="97" t="str">
        <x:v>Resolve dependent decisions/evidence before release.</x:v>
      </x:c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 ht="38" customHeight="1">
      <x:c r="A34" s="97" t="str">
        <x:v>AB06</x:v>
      </x:c>
      <x:c r="B34" s="97" t="str">
        <x:v>Final Deliverable</x:v>
      </x:c>
      <x:c r="C34" s="97" t="str">
        <x:f>'Approval Register'!D410</x:f>
        <x:v>Final deliverable: Arabic/RTL specification</x:v>
      </x:c>
      <x:c r="D34" s="97" t="str">
        <x:f>'Approval Register'!E410</x:f>
        <x:v>Yes if Arabic approved</x:v>
      </x:c>
      <x:c r="E34" s="97" t="str">
        <x:f>'Approval Register'!F410</x:f>
        <x:v>Modify / custom answer</x:v>
      </x:c>
      <x:c r="F34" s="97" t="str">
        <x:f>'Approval Register'!H410</x:f>
        <x:v>Yes — Arabic/RTL specification is required for Saudi/GCC V3.0, but remains PENDING VALIDATION until native QA passes.</x:v>
      </x:c>
      <x:c r="G34" s="97" t="str">
        <x:f>'Approval Register'!I410</x:f>
        <x:v>Approved with modification</x:v>
      </x:c>
      <x:c r="H34" s="97" t="str">
        <x:v>Resolve dependent decisions/evidence before release.</x:v>
      </x:c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 ht="38" customHeight="1">
      <x:c r="A35" s="97" t="str">
        <x:v>AB07</x:v>
      </x:c>
      <x:c r="B35" s="97" t="str">
        <x:v>Final Deliverable</x:v>
      </x:c>
      <x:c r="C35" s="97" t="str">
        <x:f>'Approval Register'!D411</x:f>
        <x:v>Final deliverable: GEM Functional Glyph System source package</x:v>
      </x:c>
      <x:c r="D35" s="97" t="str">
        <x:f>'Approval Register'!E411</x:f>
        <x:v>Yes if approved product/wayfinding use cases require glyphs; keep the set minimal and functional.</x:v>
      </x:c>
      <x:c r="E35" s="97" t="str">
        <x:f>'Approval Register'!F411</x:f>
        <x:v>Modify / custom answer</x:v>
      </x:c>
      <x:c r="F35" s="97" t="str">
        <x:f>'Approval Register'!H411</x:f>
        <x:v>Yes — include a minimal functional glyph source package only for verified hospitality/product/wayfinding use cases; no decorative icon library.</x:v>
      </x:c>
      <x:c r="G35" s="97" t="str">
        <x:f>'Approval Register'!I411</x:f>
        <x:v>Approved with modification</x:v>
      </x:c>
      <x:c r="H35" s="97" t="str">
        <x:v>Resolve dependent decisions/evidence before release.</x:v>
      </x:c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 ht="38" customHeight="1">
      <x:c r="A36" s="97" t="str">
        <x:v>AB08</x:v>
      </x:c>
      <x:c r="B36" s="97" t="str">
        <x:v>Final Deliverable</x:v>
      </x:c>
      <x:c r="C36" s="97" t="str">
        <x:f>'Approval Register'!D412</x:f>
        <x:v>Final deliverable: Approved image library</x:v>
      </x:c>
      <x:c r="D36" s="97" t="str">
        <x:f>'Approval Register'!E412</x:f>
        <x:v>Yes</x:v>
      </x:c>
      <x:c r="E36" s="97" t="str">
        <x:f>'Approval Register'!F412</x:f>
        <x:v>Approve recommendation</x:v>
      </x:c>
      <x:c r="F36" s="97" t="str">
        <x:f>'Approval Register'!H412</x:f>
        <x:v>Yes</x:v>
      </x:c>
      <x:c r="G36" s="97" t="str">
        <x:f>'Approval Register'!I412</x:f>
        <x:v>Approved</x:v>
      </x:c>
      <x:c r="H36" s="97" t="str">
        <x:v>Resolve dependent decisions/evidence before release.</x:v>
      </x:c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 ht="38" customHeight="1">
      <x:c r="A37" s="97" t="str">
        <x:v>AB09</x:v>
      </x:c>
      <x:c r="B37" s="97" t="str">
        <x:v>Final Deliverable</x:v>
      </x:c>
      <x:c r="C37" s="97" t="str">
        <x:f>'Approval Register'!D413</x:f>
        <x:v>Final deliverable: Digital design tokens</x:v>
      </x:c>
      <x:c r="D37" s="97" t="str">
        <x:f>'Approval Register'!E413</x:f>
        <x:v>Yes</x:v>
      </x:c>
      <x:c r="E37" s="97" t="str">
        <x:f>'Approval Register'!F413</x:f>
        <x:v>Approve recommendation</x:v>
      </x:c>
      <x:c r="F37" s="97" t="str">
        <x:f>'Approval Register'!H413</x:f>
        <x:v>Yes</x:v>
      </x:c>
      <x:c r="G37" s="97" t="str">
        <x:f>'Approval Register'!I413</x:f>
        <x:v>Approved</x:v>
      </x:c>
      <x:c r="H37" s="97" t="str">
        <x:v>Resolve dependent decisions/evidence before release.</x:v>
      </x:c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 ht="38" customHeight="1">
      <x:c r="A38" s="97" t="str">
        <x:v>AB10</x:v>
      </x:c>
      <x:c r="B38" s="97" t="str">
        <x:v>Final Deliverable</x:v>
      </x:c>
      <x:c r="C38" s="97" t="str">
        <x:f>'Approval Register'!D414</x:f>
        <x:v>Final deliverable: PowerPoint template</x:v>
      </x:c>
      <x:c r="D38" s="97" t="str">
        <x:f>'Approval Register'!E414</x:f>
        <x:v>Yes</x:v>
      </x:c>
      <x:c r="E38" s="97" t="str">
        <x:f>'Approval Register'!F414</x:f>
        <x:v>Approve recommendation</x:v>
      </x:c>
      <x:c r="F38" s="97" t="str">
        <x:f>'Approval Register'!H414</x:f>
        <x:v>Yes</x:v>
      </x:c>
      <x:c r="G38" s="97" t="str">
        <x:f>'Approval Register'!I414</x:f>
        <x:v>Approved</x:v>
      </x:c>
      <x:c r="H38" s="97" t="str">
        <x:v>Resolve dependent decisions/evidence before release.</x:v>
      </x:c>
      <x:c r="I38" s="75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 ht="38" customHeight="1">
      <x:c r="A39" s="97" t="str">
        <x:v>AB11</x:v>
      </x:c>
      <x:c r="B39" s="97" t="str">
        <x:v>Final Deliverable</x:v>
      </x:c>
      <x:c r="C39" s="97" t="str">
        <x:f>'Approval Register'!D415</x:f>
        <x:v>Final deliverable: Document templates</x:v>
      </x:c>
      <x:c r="D39" s="97" t="str">
        <x:f>'Approval Register'!E415</x:f>
        <x:v>Yes</x:v>
      </x:c>
      <x:c r="E39" s="97" t="str">
        <x:f>'Approval Register'!F415</x:f>
        <x:v>Approve recommendation</x:v>
      </x:c>
      <x:c r="F39" s="97" t="str">
        <x:f>'Approval Register'!H415</x:f>
        <x:v>Yes</x:v>
      </x:c>
      <x:c r="G39" s="97" t="str">
        <x:f>'Approval Register'!I415</x:f>
        <x:v>Approved</x:v>
      </x:c>
      <x:c r="H39" s="97" t="str">
        <x:v>Resolve dependent decisions/evidence before release.</x:v>
      </x:c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 ht="38" customHeight="1">
      <x:c r="A40" s="97" t="str">
        <x:v>AB12</x:v>
      </x:c>
      <x:c r="B40" s="97" t="str">
        <x:v>Final Deliverable</x:v>
      </x:c>
      <x:c r="C40" s="97" t="str">
        <x:f>'Approval Register'!D416</x:f>
        <x:v>Final deliverable: Packaging pilot artwork</x:v>
      </x:c>
      <x:c r="D40" s="97" t="str">
        <x:f>'Approval Register'!E416</x:f>
        <x:v>Yes if stream approved</x:v>
      </x:c>
      <x:c r="E40" s="97" t="str">
        <x:f>'Approval Register'!F416</x:f>
        <x:v>Modify / custom answer</x:v>
      </x:c>
      <x:c r="F40" s="97" t="str">
        <x:f>'Approval Register'!H416</x:f>
        <x:v>Yes — include one controlled bath/body pilot artwork family as the production-validation proof for Amenities &amp; Packaging.</x:v>
      </x:c>
      <x:c r="G40" s="97" t="str">
        <x:f>'Approval Register'!I416</x:f>
        <x:v>Approved with modification</x:v>
      </x:c>
      <x:c r="H40" s="97" t="str">
        <x:v>Resolve dependent decisions/evidence before release.</x:v>
      </x:c>
      <x:c r="I40" s="75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 ht="38" customHeight="1">
      <x:c r="A41" s="97" t="str">
        <x:v>AB13</x:v>
      </x:c>
      <x:c r="B41" s="97" t="str">
        <x:v>Final Deliverable</x:v>
      </x:c>
      <x:c r="C41" s="97" t="str">
        <x:f>'Approval Register'!D417</x:f>
        <x:v>Final deliverable: Supplier proof/reference</x:v>
      </x:c>
      <x:c r="D41" s="97" t="str">
        <x:f>'Approval Register'!E417</x:f>
        <x:v>Yes if packaging approved</x:v>
      </x:c>
      <x:c r="E41" s="97" t="str">
        <x:f>'Approval Register'!F417</x:f>
        <x:v>Approve recommendation</x:v>
      </x:c>
      <x:c r="F41" s="97" t="str">
        <x:f>'Approval Register'!H417</x:f>
        <x:v>Yes if packaging approved</x:v>
      </x:c>
      <x:c r="G41" s="97" t="str">
        <x:f>'Approval Register'!I417</x:f>
        <x:v>Approved</x:v>
      </x:c>
      <x:c r="H41" s="97" t="str">
        <x:v>Resolve dependent decisions/evidence before release.</x:v>
      </x:c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 ht="38" customHeight="1">
      <x:c r="A42" s="97" t="str">
        <x:v>AB14</x:v>
      </x:c>
      <x:c r="B42" s="97" t="str">
        <x:v>Final Deliverable</x:v>
      </x:c>
      <x:c r="C42" s="97" t="str">
        <x:f>'Approval Register'!D418</x:f>
        <x:v>Final deliverable: Wayfinding specification</x:v>
      </x:c>
      <x:c r="D42" s="97" t="str">
        <x:f>'Approval Register'!E418</x:f>
        <x:v>Yes if environmental scope approved</x:v>
      </x:c>
      <x:c r="E42" s="97" t="str">
        <x:f>'Approval Register'!F418</x:f>
        <x:v>Modify / custom answer</x:v>
      </x:c>
      <x:c r="F42" s="97" t="str">
        <x:f>'Approval Register'!H418</x:f>
        <x:v>Include an environmental/wayfinding specification framework. Project-specific fabrication drawings remain conditional on a live property brief.</x:v>
      </x:c>
      <x:c r="G42" s="97" t="str">
        <x:f>'Approval Register'!I418</x:f>
        <x:v>Approved with modification</x:v>
      </x:c>
      <x:c r="H42" s="97" t="str">
        <x:v>Resolve dependent decisions/evidence before release.</x:v>
      </x:c>
      <x:c r="I42" s="75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 ht="38" customHeight="1">
      <x:c r="A43" s="97" t="str">
        <x:v>AB15</x:v>
      </x:c>
      <x:c r="B43" s="97" t="str">
        <x:v>Final Deliverable</x:v>
      </x:c>
      <x:c r="C43" s="97" t="str">
        <x:f>'Approval Register'!D419</x:f>
        <x:v>Final deliverable: Accessibility QA record</x:v>
      </x:c>
      <x:c r="D43" s="97" t="str">
        <x:f>'Approval Register'!E419</x:f>
        <x:v>Yes</x:v>
      </x:c>
      <x:c r="E43" s="97" t="str">
        <x:f>'Approval Register'!F419</x:f>
        <x:v>Approve recommendation</x:v>
      </x:c>
      <x:c r="F43" s="97" t="str">
        <x:f>'Approval Register'!H419</x:f>
        <x:v>Yes</x:v>
      </x:c>
      <x:c r="G43" s="97" t="str">
        <x:f>'Approval Register'!I419</x:f>
        <x:v>Approved</x:v>
      </x:c>
      <x:c r="H43" s="97" t="str">
        <x:v>Resolve dependent decisions/evidence before release.</x:v>
      </x:c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 ht="38" customHeight="1">
      <x:c r="A44" s="97" t="str">
        <x:v>AB16</x:v>
      </x:c>
      <x:c r="B44" s="97" t="str">
        <x:v>Final Deliverable</x:v>
      </x:c>
      <x:c r="C44" s="97" t="str">
        <x:f>'Approval Register'!D420</x:f>
        <x:v>Final deliverable: Approval/decision register</x:v>
      </x:c>
      <x:c r="D44" s="97" t="str">
        <x:f>'Approval Register'!E420</x:f>
        <x:v>Yes</x:v>
      </x:c>
      <x:c r="E44" s="97" t="str">
        <x:f>'Approval Register'!F420</x:f>
        <x:v>Approve recommendation</x:v>
      </x:c>
      <x:c r="F44" s="97" t="str">
        <x:f>'Approval Register'!H420</x:f>
        <x:v>Yes</x:v>
      </x:c>
      <x:c r="G44" s="97" t="str">
        <x:f>'Approval Register'!I420</x:f>
        <x:v>Approved</x:v>
      </x:c>
      <x:c r="H44" s="97" t="str">
        <x:v>Resolve dependent decisions/evidence before release.</x:v>
      </x:c>
      <x:c r="I44" s="75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 ht="38" customHeight="1">
      <x:c r="A45" s="97" t="str">
        <x:v>AB17</x:v>
      </x:c>
      <x:c r="B45" s="97" t="str">
        <x:v>Final Deliverable</x:v>
      </x:c>
      <x:c r="C45" s="97" t="str">
        <x:f>'Approval Register'!D421</x:f>
        <x:v>Final deliverable: Asset manifest</x:v>
      </x:c>
      <x:c r="D45" s="97" t="str">
        <x:f>'Approval Register'!E421</x:f>
        <x:v>Yes</x:v>
      </x:c>
      <x:c r="E45" s="97" t="str">
        <x:f>'Approval Register'!F421</x:f>
        <x:v>Approve recommendation</x:v>
      </x:c>
      <x:c r="F45" s="97" t="str">
        <x:f>'Approval Register'!H421</x:f>
        <x:v>Yes</x:v>
      </x:c>
      <x:c r="G45" s="97" t="str">
        <x:f>'Approval Register'!I421</x:f>
        <x:v>Approved</x:v>
      </x:c>
      <x:c r="H45" s="97" t="str">
        <x:v>Resolve dependent decisions/evidence before release.</x:v>
      </x:c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 ht="38" customHeight="1">
      <x:c r="A46" s="97" t="str">
        <x:v>AB18</x:v>
      </x:c>
      <x:c r="B46" s="97" t="str">
        <x:v>Final Deliverable</x:v>
      </x:c>
      <x:c r="C46" s="97" t="str">
        <x:f>'Approval Register'!D422</x:f>
        <x:v>Final deliverable: V1/V2 archive</x:v>
      </x:c>
      <x:c r="D46" s="97" t="str">
        <x:f>'Approval Register'!E422</x:f>
        <x:v>Yes</x:v>
      </x:c>
      <x:c r="E46" s="97" t="str">
        <x:f>'Approval Register'!F422</x:f>
        <x:v>Approve recommendation</x:v>
      </x:c>
      <x:c r="F46" s="97" t="str">
        <x:f>'Approval Register'!H422</x:f>
        <x:v>Yes</x:v>
      </x:c>
      <x:c r="G46" s="97" t="str">
        <x:f>'Approval Register'!I422</x:f>
        <x:v>Approved</x:v>
      </x:c>
      <x:c r="H46" s="97" t="str">
        <x:v>Resolve dependent decisions/evidence before release.</x:v>
      </x:c>
      <x:c r="I46" s="75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 ht="38" customHeight="1">
      <x:c r="A47" s="97" t="str">
        <x:v>AB19</x:v>
      </x:c>
      <x:c r="B47" s="97" t="str">
        <x:v>Final Deliverable</x:v>
      </x:c>
      <x:c r="C47" s="97" t="str">
        <x:f>'Approval Register'!D423</x:f>
        <x:v>Final deliverable: V3.0 change log</x:v>
      </x:c>
      <x:c r="D47" s="97" t="str">
        <x:f>'Approval Register'!E423</x:f>
        <x:v>Yes</x:v>
      </x:c>
      <x:c r="E47" s="97" t="str">
        <x:f>'Approval Register'!F423</x:f>
        <x:v>Approve recommendation</x:v>
      </x:c>
      <x:c r="F47" s="97" t="str">
        <x:f>'Approval Register'!H423</x:f>
        <x:v>Yes</x:v>
      </x:c>
      <x:c r="G47" s="97" t="str">
        <x:f>'Approval Register'!I423</x:f>
        <x:v>Approved</x:v>
      </x:c>
      <x:c r="H47" s="97" t="str">
        <x:v>Resolve dependent decisions/evidence before release.</x:v>
      </x:c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 ht="38" customHeight="1">
      <x:c r="A48" s="97" t="str">
        <x:v>AB20</x:v>
      </x:c>
      <x:c r="B48" s="97" t="str">
        <x:v>Final Deliverable</x:v>
      </x:c>
      <x:c r="C48" s="97" t="str">
        <x:f>'Approval Register'!D424</x:f>
        <x:v>Final deliverable: Named owners and next-review date</x:v>
      </x:c>
      <x:c r="D48" s="97" t="str">
        <x:f>'Approval Register'!E424</x:f>
        <x:v>Yes</x:v>
      </x:c>
      <x:c r="E48" s="97" t="str">
        <x:f>'Approval Register'!F424</x:f>
        <x:v>Approve recommendation</x:v>
      </x:c>
      <x:c r="F48" s="97" t="str">
        <x:f>'Approval Register'!H424</x:f>
        <x:v>Yes</x:v>
      </x:c>
      <x:c r="G48" s="97" t="str">
        <x:f>'Approval Register'!I424</x:f>
        <x:v>Approved</x:v>
      </x:c>
      <x:c r="H48" s="97" t="str">
        <x:v>Resolve dependent decisions/evidence before release.</x:v>
      </x:c>
      <x:c r="I48" s="75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A49" s="81" t="str">
        <x:v>AB21</x:v>
      </x:c>
      <x:c r="B49" s="81" t="str">
        <x:v>Final Deliverable</x:v>
      </x:c>
      <x:c r="C49" s="81" t="str">
        <x:v>Final deliverable: GEM Digital Design System — living documentation + versioned tokens/component code</x:v>
      </x:c>
      <x:c r="D49" s="81" t="str">
        <x:v>Yes</x:v>
      </x:c>
      <x:c r="E49" s="81" t="str">
        <x:f>IFERROR(INDEX('Approval Register'!F:F,MATCH(A49,'Approval Register'!A:A,0)),"")</x:f>
        <x:v>Approve recommendation</x:v>
      </x:c>
      <x:c r="F49" s="81" t="str">
        <x:f>IFERROR(INDEX('Approval Register'!H:H,MATCH(A49,'Approval Register'!A:A,0)),"")</x:f>
        <x:v>Yes</x:v>
      </x:c>
      <x:c r="G49" s="81" t="str">
        <x:f>IFERROR(INDEX('Approval Register'!I:I,MATCH(A49,'Approval Register'!A:A,0)),"Pending")</x:f>
        <x:v>Approved</x:v>
      </x:c>
      <x:c r="H49" s="81" t="str">
        <x:v>Required if DS01 / DS03 approved.</x:v>
      </x:c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A50" s="81" t="str">
        <x:v>AB22</x:v>
      </x:c>
      <x:c r="B50" s="81" t="str">
        <x:v>Final Deliverable</x:v>
      </x:c>
      <x:c r="C50" s="81" t="str">
        <x:v>Final deliverable: GEM Production Standards — print / packaging / signage supplier specification</x:v>
      </x:c>
      <x:c r="D50" s="81" t="str">
        <x:v>Yes</x:v>
      </x:c>
      <x:c r="E50" s="81" t="str">
        <x:f>IFERROR(INDEX('Approval Register'!F:F,MATCH(A50,'Approval Register'!A:A,0)),"")</x:f>
        <x:v>Approve recommendation</x:v>
      </x:c>
      <x:c r="F50" s="81" t="str">
        <x:f>IFERROR(INDEX('Approval Register'!H:H,MATCH(A50,'Approval Register'!A:A,0)),"")</x:f>
        <x:v>Yes</x:v>
      </x:c>
      <x:c r="G50" s="81" t="str">
        <x:f>IFERROR(INDEX('Approval Register'!I:I,MATCH(A50,'Approval Register'!A:A,0)),"Pending")</x:f>
        <x:v>Approved</x:v>
      </x:c>
      <x:c r="H50" s="81" t="str">
        <x:v>Required if DS01 / DS04 approved.</x:v>
      </x:c>
      <x:c r="I50" s="75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A51" s="81" t="str">
        <x:v>AB23</x:v>
      </x:c>
      <x:c r="B51" s="81" t="str">
        <x:v>Final Deliverable</x:v>
      </x:c>
      <x:c r="C51" s="81" t="str">
        <x:v>Final deliverable: GEM Functional Glyph System source package</x:v>
      </x:c>
      <x:c r="D51" s="81" t="str">
        <x:v>Yes if required by approved scope</x:v>
      </x:c>
      <x:c r="E51" s="81" t="str">
        <x:f>IFERROR(INDEX('Approval Register'!F:F,MATCH(A51,'Approval Register'!A:A,0)),"")</x:f>
        <x:v>Modify / custom answer</x:v>
      </x:c>
      <x:c r="F51" s="81" t="str">
        <x:f>IFERROR(INDEX('Approval Register'!H:H,MATCH(A51,'Approval Register'!A:A,0)),"")</x:f>
        <x:v>Yes — include the minimal approved GEM Functional Glyph System source package once use cases are verified.</x:v>
      </x:c>
      <x:c r="G51" s="81" t="str">
        <x:f>IFERROR(INDEX('Approval Register'!I:I,MATCH(A51,'Approval Register'!A:A,0)),"Pending")</x:f>
        <x:v>Approved with modification</x:v>
      </x:c>
      <x:c r="H51" s="81" t="str">
        <x:v>Required if N14 / AB23 approved.</x:v>
      </x:c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A66" s="75"/>
      <x:c r="B66" s="75"/>
      <x:c r="C66" s="75"/>
      <x:c r="D66" s="75"/>
      <x:c r="E66" s="75"/>
      <x:c r="F66" s="75"/>
      <x:c r="G66" s="75"/>
      <x:c r="H66" s="75"/>
      <x:c r="I66" s="75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A67" s="75"/>
      <x:c r="B67" s="75"/>
      <x:c r="C67" s="75"/>
      <x:c r="D67" s="75"/>
      <x:c r="E67" s="75"/>
      <x:c r="F67" s="75"/>
      <x:c r="G67" s="75"/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A68" s="75"/>
      <x:c r="B68" s="75"/>
      <x:c r="C68" s="75"/>
      <x:c r="D68" s="75"/>
      <x:c r="E68" s="75"/>
      <x:c r="F68" s="75"/>
      <x:c r="G68" s="75"/>
      <x:c r="H68" s="75"/>
      <x:c r="I68" s="75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A69" s="75"/>
      <x:c r="B69" s="75"/>
      <x:c r="C69" s="75"/>
      <x:c r="D69" s="75"/>
      <x:c r="E69" s="75"/>
      <x:c r="F69" s="75"/>
      <x:c r="G69" s="75"/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A70" s="75"/>
      <x:c r="B70" s="75"/>
      <x:c r="C70" s="75"/>
      <x:c r="D70" s="75"/>
      <x:c r="E70" s="75"/>
      <x:c r="F70" s="75"/>
      <x:c r="G70" s="75"/>
      <x:c r="H70" s="75"/>
      <x:c r="I70" s="75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A71" s="75"/>
      <x:c r="B71" s="75"/>
      <x:c r="C71" s="75"/>
      <x:c r="D71" s="75"/>
      <x:c r="E71" s="75"/>
      <x:c r="F71" s="75"/>
      <x:c r="G71" s="75"/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A72" s="75"/>
      <x:c r="B72" s="75"/>
      <x:c r="C72" s="75"/>
      <x:c r="D72" s="75"/>
      <x:c r="E72" s="75"/>
      <x:c r="F72" s="75"/>
      <x:c r="G72" s="75"/>
      <x:c r="H72" s="75"/>
      <x:c r="I72" s="75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A73" s="75"/>
      <x:c r="B73" s="75"/>
      <x:c r="C73" s="75"/>
      <x:c r="D73" s="75"/>
      <x:c r="E73" s="75"/>
      <x:c r="F73" s="75"/>
      <x:c r="G73" s="75"/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A74" s="75"/>
      <x:c r="B74" s="75"/>
      <x:c r="C74" s="75"/>
      <x:c r="D74" s="75"/>
      <x:c r="E74" s="75"/>
      <x:c r="F74" s="75"/>
      <x:c r="G74" s="75"/>
      <x:c r="H74" s="75"/>
      <x:c r="I74" s="75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A75" s="75"/>
      <x:c r="B75" s="75"/>
      <x:c r="C75" s="75"/>
      <x:c r="D75" s="75"/>
      <x:c r="E75" s="75"/>
      <x:c r="F75" s="75"/>
      <x:c r="G75" s="75"/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A76" s="75"/>
      <x:c r="B76" s="75"/>
      <x:c r="C76" s="75"/>
      <x:c r="D76" s="75"/>
      <x:c r="E76" s="75"/>
      <x:c r="F76" s="75"/>
      <x:c r="G76" s="75"/>
      <x:c r="H76" s="75"/>
      <x:c r="I76" s="75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A77" s="75"/>
      <x:c r="B77" s="75"/>
      <x:c r="C77" s="75"/>
      <x:c r="D77" s="75"/>
      <x:c r="E77" s="75"/>
      <x:c r="F77" s="75"/>
      <x:c r="G77" s="75"/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A78" s="75"/>
      <x:c r="B78" s="75"/>
      <x:c r="C78" s="75"/>
      <x:c r="D78" s="75"/>
      <x:c r="E78" s="75"/>
      <x:c r="F78" s="75"/>
      <x:c r="G78" s="75"/>
      <x:c r="H78" s="75"/>
      <x:c r="I78" s="75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A79" s="75"/>
      <x:c r="B79" s="75"/>
      <x:c r="C79" s="75"/>
      <x:c r="D79" s="75"/>
      <x:c r="E79" s="75"/>
      <x:c r="F79" s="75"/>
      <x:c r="G79" s="75"/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A80" s="75"/>
      <x:c r="B80" s="75"/>
      <x:c r="C80" s="75"/>
      <x:c r="D80" s="75"/>
      <x:c r="E80" s="75"/>
      <x:c r="F80" s="75"/>
      <x:c r="G80" s="75"/>
      <x:c r="H80" s="75"/>
      <x:c r="I80" s="75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A81" s="75"/>
      <x:c r="B81" s="75"/>
      <x:c r="C81" s="75"/>
      <x:c r="D81" s="75"/>
      <x:c r="E81" s="75"/>
      <x:c r="F81" s="75"/>
      <x:c r="G81" s="75"/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A82" s="75"/>
      <x:c r="B82" s="75"/>
      <x:c r="C82" s="75"/>
      <x:c r="D82" s="75"/>
      <x:c r="E82" s="75"/>
      <x:c r="F82" s="75"/>
      <x:c r="G82" s="75"/>
      <x:c r="H82" s="75"/>
      <x:c r="I82" s="75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A83" s="75"/>
      <x:c r="B83" s="75"/>
      <x:c r="C83" s="75"/>
      <x:c r="D83" s="75"/>
      <x:c r="E83" s="75"/>
      <x:c r="F83" s="75"/>
      <x:c r="G83" s="75"/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A84" s="75"/>
      <x:c r="B84" s="75"/>
      <x:c r="C84" s="75"/>
      <x:c r="D84" s="75"/>
      <x:c r="E84" s="75"/>
      <x:c r="F84" s="75"/>
      <x:c r="G84" s="75"/>
      <x:c r="H84" s="75"/>
      <x:c r="I84" s="75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A85" s="75"/>
      <x:c r="B85" s="75"/>
      <x:c r="C85" s="75"/>
      <x:c r="D85" s="75"/>
      <x:c r="E85" s="75"/>
      <x:c r="F85" s="75"/>
      <x:c r="G85" s="75"/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A86" s="75"/>
      <x:c r="B86" s="75"/>
      <x:c r="C86" s="75"/>
      <x:c r="D86" s="75"/>
      <x:c r="E86" s="75"/>
      <x:c r="F86" s="75"/>
      <x:c r="G86" s="75"/>
      <x:c r="H86" s="75"/>
      <x:c r="I86" s="75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A87" s="75"/>
      <x:c r="B87" s="75"/>
      <x:c r="C87" s="75"/>
      <x:c r="D87" s="75"/>
      <x:c r="E87" s="75"/>
      <x:c r="F87" s="75"/>
      <x:c r="G87" s="75"/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A88" s="75"/>
      <x:c r="B88" s="75"/>
      <x:c r="C88" s="75"/>
      <x:c r="D88" s="75"/>
      <x:c r="E88" s="75"/>
      <x:c r="F88" s="75"/>
      <x:c r="G88" s="75"/>
      <x:c r="H88" s="75"/>
      <x:c r="I88" s="75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A89" s="75"/>
      <x:c r="B89" s="75"/>
      <x:c r="C89" s="75"/>
      <x:c r="D89" s="75"/>
      <x:c r="E89" s="75"/>
      <x:c r="F89" s="75"/>
      <x:c r="G89" s="75"/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A90" s="75"/>
      <x:c r="B90" s="75"/>
      <x:c r="C90" s="75"/>
      <x:c r="D90" s="75"/>
      <x:c r="E90" s="75"/>
      <x:c r="F90" s="75"/>
      <x:c r="G90" s="75"/>
      <x:c r="H90" s="75"/>
      <x:c r="I90" s="75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A91" s="75"/>
      <x:c r="B91" s="75"/>
      <x:c r="C91" s="75"/>
      <x:c r="D91" s="75"/>
      <x:c r="E91" s="75"/>
      <x:c r="F91" s="75"/>
      <x:c r="G91" s="75"/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A92" s="75"/>
      <x:c r="B92" s="75"/>
      <x:c r="C92" s="75"/>
      <x:c r="D92" s="75"/>
      <x:c r="E92" s="75"/>
      <x:c r="F92" s="75"/>
      <x:c r="G92" s="75"/>
      <x:c r="H92" s="75"/>
      <x:c r="I92" s="75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A93" s="75"/>
      <x:c r="B93" s="75"/>
      <x:c r="C93" s="75"/>
      <x:c r="D93" s="75"/>
      <x:c r="E93" s="75"/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A94" s="75"/>
      <x:c r="B94" s="75"/>
      <x:c r="C94" s="75"/>
      <x:c r="D94" s="75"/>
      <x:c r="E94" s="75"/>
      <x:c r="F94" s="75"/>
      <x:c r="G94" s="75"/>
      <x:c r="H94" s="75"/>
      <x:c r="I94" s="75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A95" s="75"/>
      <x:c r="B95" s="75"/>
      <x:c r="C95" s="75"/>
      <x:c r="D95" s="75"/>
      <x:c r="E95" s="75"/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A96" s="75"/>
      <x:c r="B96" s="75"/>
      <x:c r="C96" s="75"/>
      <x:c r="D96" s="75"/>
      <x:c r="E96" s="75"/>
      <x:c r="F96" s="75"/>
      <x:c r="G96" s="75"/>
      <x:c r="H96" s="75"/>
      <x:c r="I96" s="75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A97" s="75"/>
      <x:c r="B97" s="75"/>
      <x:c r="C97" s="75"/>
      <x:c r="D97" s="75"/>
      <x:c r="E97" s="75"/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A98" s="75"/>
      <x:c r="B98" s="75"/>
      <x:c r="C98" s="75"/>
      <x:c r="D98" s="75"/>
      <x:c r="E98" s="75"/>
      <x:c r="F98" s="75"/>
      <x:c r="G98" s="75"/>
      <x:c r="H98" s="75"/>
      <x:c r="I98" s="75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A99" s="75"/>
      <x:c r="B99" s="75"/>
      <x:c r="C99" s="75"/>
      <x:c r="D99" s="75"/>
      <x:c r="E99" s="75"/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A100" s="75"/>
      <x:c r="B100" s="75"/>
      <x:c r="C100" s="75"/>
      <x:c r="D100" s="75"/>
      <x:c r="E100" s="75"/>
      <x:c r="F100" s="75"/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A101" s="75"/>
      <x:c r="B101" s="75"/>
      <x:c r="C101" s="75"/>
      <x:c r="D101" s="75"/>
      <x:c r="E101" s="75"/>
      <x:c r="F101" s="75"/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A102" s="75"/>
      <x:c r="B102" s="75"/>
      <x:c r="C102" s="75"/>
      <x:c r="D102" s="75"/>
      <x:c r="E102" s="75"/>
      <x:c r="F102" s="75"/>
      <x:c r="G102" s="75"/>
      <x:c r="H102" s="75"/>
      <x:c r="I102" s="75"/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A103" s="75"/>
      <x:c r="B103" s="75"/>
      <x:c r="C103" s="75"/>
      <x:c r="D103" s="75"/>
      <x:c r="E103" s="75"/>
      <x:c r="F103" s="75"/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A104" s="75"/>
      <x:c r="B104" s="75"/>
      <x:c r="C104" s="75"/>
      <x:c r="D104" s="75"/>
      <x:c r="E104" s="75"/>
      <x:c r="F104" s="75"/>
      <x:c r="G104" s="75"/>
      <x:c r="H104" s="75"/>
      <x:c r="I104" s="75"/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A105" s="75"/>
      <x:c r="B105" s="75"/>
      <x:c r="C105" s="75"/>
      <x:c r="D105" s="75"/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A106" s="75"/>
      <x:c r="B106" s="75"/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A107" s="75"/>
      <x:c r="B107" s="75"/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A108" s="75"/>
      <x:c r="B108" s="75"/>
      <x:c r="C108" s="75"/>
      <x:c r="D108" s="75"/>
      <x:c r="E108" s="75"/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A109" s="75"/>
      <x:c r="B109" s="75"/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A110" s="75"/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A111" s="75"/>
      <x:c r="B111" s="75"/>
      <x:c r="C111" s="75"/>
      <x:c r="D111" s="75"/>
      <x:c r="E111" s="75"/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A112" s="75"/>
      <x:c r="B112" s="75"/>
      <x:c r="C112" s="75"/>
      <x:c r="D112" s="75"/>
      <x:c r="E112" s="75"/>
      <x:c r="F112" s="75"/>
      <x:c r="G112" s="75"/>
      <x:c r="H112" s="75"/>
      <x:c r="I112" s="75"/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A113" s="75"/>
      <x:c r="B113" s="75"/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A114" s="75"/>
      <x:c r="B114" s="75"/>
      <x:c r="C114" s="75"/>
      <x:c r="D114" s="75"/>
      <x:c r="E114" s="75"/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A115" s="75"/>
      <x:c r="B115" s="75"/>
      <x:c r="C115" s="75"/>
      <x:c r="D115" s="75"/>
      <x:c r="E115" s="75"/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A116" s="75"/>
      <x:c r="B116" s="75"/>
      <x:c r="C116" s="75"/>
      <x:c r="D116" s="75"/>
      <x:c r="E116" s="75"/>
      <x:c r="F116" s="75"/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A117" s="75"/>
      <x:c r="B117" s="75"/>
      <x:c r="C117" s="75"/>
      <x:c r="D117" s="75"/>
      <x:c r="E117" s="75"/>
      <x:c r="F117" s="75"/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A118" s="75"/>
      <x:c r="B118" s="75"/>
      <x:c r="C118" s="75"/>
      <x:c r="D118" s="75"/>
      <x:c r="E118" s="75"/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A119" s="75"/>
      <x:c r="B119" s="75"/>
      <x:c r="C119" s="75"/>
      <x:c r="D119" s="75"/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A120" s="75"/>
      <x:c r="B120" s="75"/>
      <x:c r="C120" s="75"/>
      <x:c r="D120" s="75"/>
      <x:c r="E120" s="75"/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A121" s="75"/>
      <x:c r="B121" s="75"/>
      <x:c r="C121" s="75"/>
      <x:c r="D121" s="75"/>
      <x:c r="E121" s="75"/>
      <x:c r="F121" s="75"/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A122" s="75"/>
      <x:c r="B122" s="75"/>
      <x:c r="C122" s="75"/>
      <x:c r="D122" s="75"/>
      <x:c r="E122" s="75"/>
      <x:c r="F122" s="75"/>
      <x:c r="G122" s="75"/>
      <x:c r="H122" s="75"/>
      <x:c r="I122" s="75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A123" s="75"/>
      <x:c r="B123" s="75"/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A124" s="75"/>
      <x:c r="B124" s="75"/>
      <x:c r="C124" s="75"/>
      <x:c r="D124" s="75"/>
      <x:c r="E124" s="75"/>
      <x:c r="F124" s="75"/>
      <x:c r="G124" s="75"/>
      <x:c r="H124" s="75"/>
      <x:c r="I124" s="75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A125" s="75"/>
      <x:c r="B125" s="75"/>
      <x:c r="C125" s="75"/>
      <x:c r="D125" s="75"/>
      <x:c r="E125" s="75"/>
      <x:c r="F125" s="75"/>
      <x:c r="G125" s="75"/>
      <x:c r="H125" s="75"/>
      <x:c r="I125" s="75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A126" s="75"/>
      <x:c r="B126" s="75"/>
      <x:c r="C126" s="75"/>
      <x:c r="D126" s="75"/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A127" s="75"/>
      <x:c r="B127" s="75"/>
      <x:c r="C127" s="75"/>
      <x:c r="D127" s="75"/>
      <x:c r="E127" s="75"/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A128" s="75"/>
      <x:c r="B128" s="75"/>
      <x:c r="C128" s="75"/>
      <x:c r="D128" s="75"/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A129" s="75"/>
      <x:c r="B129" s="75"/>
      <x:c r="C129" s="75"/>
      <x:c r="D129" s="75"/>
      <x:c r="E129" s="75"/>
      <x:c r="F129" s="75"/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A130" s="75"/>
      <x:c r="B130" s="75"/>
      <x:c r="C130" s="75"/>
      <x:c r="D130" s="75"/>
      <x:c r="E130" s="75"/>
      <x:c r="F130" s="75"/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A131" s="75"/>
      <x:c r="B131" s="75"/>
      <x:c r="C131" s="75"/>
      <x:c r="D131" s="75"/>
      <x:c r="E131" s="75"/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A132" s="75"/>
      <x:c r="B132" s="75"/>
      <x:c r="C132" s="75"/>
      <x:c r="D132" s="75"/>
      <x:c r="E132" s="75"/>
      <x:c r="F132" s="75"/>
      <x:c r="G132" s="75"/>
      <x:c r="H132" s="75"/>
      <x:c r="I132" s="75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A133" s="75"/>
      <x:c r="B133" s="75"/>
      <x:c r="C133" s="75"/>
      <x:c r="D133" s="75"/>
      <x:c r="E133" s="75"/>
      <x:c r="F133" s="75"/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A134" s="75"/>
      <x:c r="B134" s="75"/>
      <x:c r="C134" s="75"/>
      <x:c r="D134" s="75"/>
      <x:c r="E134" s="75"/>
      <x:c r="F134" s="75"/>
      <x:c r="G134" s="75"/>
      <x:c r="H134" s="75"/>
      <x:c r="I134" s="75"/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A135" s="75"/>
      <x:c r="B135" s="75"/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A136" s="75"/>
      <x:c r="B136" s="75"/>
      <x:c r="C136" s="75"/>
      <x:c r="D136" s="75"/>
      <x:c r="E136" s="75"/>
      <x:c r="F136" s="75"/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A137" s="75"/>
      <x:c r="B137" s="75"/>
      <x:c r="C137" s="75"/>
      <x:c r="D137" s="75"/>
      <x:c r="E137" s="75"/>
      <x:c r="F137" s="75"/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A138" s="75"/>
      <x:c r="B138" s="75"/>
      <x:c r="C138" s="75"/>
      <x:c r="D138" s="75"/>
      <x:c r="E138" s="75"/>
      <x:c r="F138" s="75"/>
      <x:c r="G138" s="75"/>
      <x:c r="H138" s="75"/>
      <x:c r="I138" s="75"/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A139" s="75"/>
      <x:c r="B139" s="75"/>
      <x:c r="C139" s="75"/>
      <x:c r="D139" s="75"/>
      <x:c r="E139" s="75"/>
      <x:c r="F139" s="75"/>
      <x:c r="G139" s="75"/>
      <x:c r="H139" s="75"/>
      <x:c r="I139" s="75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A140" s="75"/>
      <x:c r="B140" s="75"/>
      <x:c r="C140" s="75"/>
      <x:c r="D140" s="75"/>
      <x:c r="E140" s="75"/>
      <x:c r="F140" s="75"/>
      <x:c r="G140" s="75"/>
      <x:c r="H140" s="75"/>
      <x:c r="I140" s="75"/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A141" s="75"/>
      <x:c r="B141" s="75"/>
      <x:c r="C141" s="75"/>
      <x:c r="D141" s="75"/>
      <x:c r="E141" s="75"/>
      <x:c r="F141" s="75"/>
      <x:c r="G141" s="75"/>
      <x:c r="H141" s="75"/>
      <x:c r="I141" s="75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A142" s="75"/>
      <x:c r="B142" s="75"/>
      <x:c r="C142" s="75"/>
      <x:c r="D142" s="75"/>
      <x:c r="E142" s="75"/>
      <x:c r="F142" s="75"/>
      <x:c r="G142" s="75"/>
      <x:c r="H142" s="75"/>
      <x:c r="I142" s="75"/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A143" s="75"/>
      <x:c r="B143" s="75"/>
      <x:c r="C143" s="75"/>
      <x:c r="D143" s="75"/>
      <x:c r="E143" s="75"/>
      <x:c r="F143" s="75"/>
      <x:c r="G143" s="75"/>
      <x:c r="H143" s="75"/>
      <x:c r="I143" s="75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A144" s="75"/>
      <x:c r="B144" s="75"/>
      <x:c r="C144" s="75"/>
      <x:c r="D144" s="75"/>
      <x:c r="E144" s="75"/>
      <x:c r="F144" s="75"/>
      <x:c r="G144" s="75"/>
      <x:c r="H144" s="75"/>
      <x:c r="I144" s="75"/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A145" s="75"/>
      <x:c r="B145" s="75"/>
      <x:c r="C145" s="75"/>
      <x:c r="D145" s="75"/>
      <x:c r="E145" s="75"/>
      <x:c r="F145" s="75"/>
      <x:c r="G145" s="75"/>
      <x:c r="H145" s="75"/>
      <x:c r="I145" s="75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A146" s="75"/>
      <x:c r="B146" s="75"/>
      <x:c r="C146" s="75"/>
      <x:c r="D146" s="75"/>
      <x:c r="E146" s="75"/>
      <x:c r="F146" s="75"/>
      <x:c r="G146" s="75"/>
      <x:c r="H146" s="75"/>
      <x:c r="I146" s="75"/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A147" s="75"/>
      <x:c r="B147" s="75"/>
      <x:c r="C147" s="75"/>
      <x:c r="D147" s="75"/>
      <x:c r="E147" s="75"/>
      <x:c r="F147" s="75"/>
      <x:c r="G147" s="75"/>
      <x:c r="H147" s="75"/>
      <x:c r="I147" s="75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A148" s="75"/>
      <x:c r="B148" s="75"/>
      <x:c r="C148" s="75"/>
      <x:c r="D148" s="75"/>
      <x:c r="E148" s="75"/>
      <x:c r="F148" s="75"/>
      <x:c r="G148" s="75"/>
      <x:c r="H148" s="75"/>
      <x:c r="I148" s="75"/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A149" s="75"/>
      <x:c r="B149" s="75"/>
      <x:c r="C149" s="75"/>
      <x:c r="D149" s="75"/>
      <x:c r="E149" s="75"/>
      <x:c r="F149" s="75"/>
      <x:c r="G149" s="75"/>
      <x:c r="H149" s="75"/>
      <x:c r="I149" s="75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A150" s="75"/>
      <x:c r="B150" s="75"/>
      <x:c r="C150" s="75"/>
      <x:c r="D150" s="75"/>
      <x:c r="E150" s="75"/>
      <x:c r="F150" s="75"/>
      <x:c r="G150" s="75"/>
      <x:c r="H150" s="75"/>
      <x:c r="I150" s="75"/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A151" s="75"/>
      <x:c r="B151" s="75"/>
      <x:c r="C151" s="75"/>
      <x:c r="D151" s="75"/>
      <x:c r="E151" s="75"/>
      <x:c r="F151" s="75"/>
      <x:c r="G151" s="75"/>
      <x:c r="H151" s="75"/>
      <x:c r="I151" s="75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A152" s="75"/>
      <x:c r="B152" s="75"/>
      <x:c r="C152" s="75"/>
      <x:c r="D152" s="75"/>
      <x:c r="E152" s="75"/>
      <x:c r="F152" s="75"/>
      <x:c r="G152" s="75"/>
      <x:c r="H152" s="75"/>
      <x:c r="I152" s="75"/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A153" s="75"/>
      <x:c r="B153" s="75"/>
      <x:c r="C153" s="75"/>
      <x:c r="D153" s="75"/>
      <x:c r="E153" s="75"/>
      <x:c r="F153" s="75"/>
      <x:c r="G153" s="75"/>
      <x:c r="H153" s="75"/>
      <x:c r="I153" s="75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A154" s="75"/>
      <x:c r="B154" s="75"/>
      <x:c r="C154" s="75"/>
      <x:c r="D154" s="75"/>
      <x:c r="E154" s="75"/>
      <x:c r="F154" s="75"/>
      <x:c r="G154" s="75"/>
      <x:c r="H154" s="75"/>
      <x:c r="I154" s="75"/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A155" s="75"/>
      <x:c r="B155" s="75"/>
      <x:c r="C155" s="75"/>
      <x:c r="D155" s="75"/>
      <x:c r="E155" s="75"/>
      <x:c r="F155" s="75"/>
      <x:c r="G155" s="75"/>
      <x:c r="H155" s="75"/>
      <x:c r="I155" s="75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  <x:row r="156">
      <x:c r="A156" s="75"/>
      <x:c r="B156" s="75"/>
      <x:c r="C156" s="75"/>
      <x:c r="D156" s="75"/>
      <x:c r="E156" s="75"/>
      <x:c r="F156" s="75"/>
      <x:c r="G156" s="75"/>
      <x:c r="H156" s="75"/>
      <x:c r="I156" s="75"/>
      <x:c r="J156" s="75"/>
      <x:c r="K156" s="75"/>
      <x:c r="L156" s="75"/>
      <x:c r="M156" s="75"/>
      <x:c r="N156" s="75"/>
      <x:c r="O156" s="75"/>
      <x:c r="P156" s="75"/>
      <x:c r="Q156" s="75"/>
      <x:c r="R156" s="75"/>
      <x:c r="S156" s="75"/>
      <x:c r="T156" s="75"/>
      <x:c r="U156" s="75"/>
      <x:c r="V156" s="75"/>
      <x:c r="W156" s="75"/>
      <x:c r="X156" s="75"/>
      <x:c r="Y156" s="75"/>
      <x:c r="Z156" s="75"/>
    </x:row>
    <x:row r="157">
      <x:c r="A157" s="75"/>
      <x:c r="B157" s="75"/>
      <x:c r="C157" s="75"/>
      <x:c r="D157" s="75"/>
      <x:c r="E157" s="75"/>
      <x:c r="F157" s="75"/>
      <x:c r="G157" s="75"/>
      <x:c r="H157" s="75"/>
      <x:c r="I157" s="75"/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</x:row>
    <x:row r="158">
      <x:c r="A158" s="75"/>
      <x:c r="B158" s="75"/>
      <x:c r="C158" s="75"/>
      <x:c r="D158" s="75"/>
      <x:c r="E158" s="75"/>
      <x:c r="F158" s="75"/>
      <x:c r="G158" s="75"/>
      <x:c r="H158" s="75"/>
      <x:c r="I158" s="75"/>
      <x:c r="J158" s="75"/>
      <x:c r="K158" s="75"/>
      <x:c r="L158" s="75"/>
      <x:c r="M158" s="75"/>
      <x:c r="N158" s="75"/>
      <x:c r="O158" s="75"/>
      <x:c r="P158" s="75"/>
      <x:c r="Q158" s="75"/>
      <x:c r="R158" s="75"/>
      <x:c r="S158" s="75"/>
      <x:c r="T158" s="75"/>
      <x:c r="U158" s="75"/>
      <x:c r="V158" s="75"/>
      <x:c r="W158" s="75"/>
      <x:c r="X158" s="75"/>
      <x:c r="Y158" s="75"/>
      <x:c r="Z158" s="75"/>
    </x:row>
    <x:row r="159">
      <x:c r="A159" s="75"/>
      <x:c r="B159" s="75"/>
      <x:c r="C159" s="75"/>
      <x:c r="D159" s="75"/>
      <x:c r="E159" s="75"/>
      <x:c r="F159" s="75"/>
      <x:c r="G159" s="75"/>
      <x:c r="H159" s="75"/>
      <x:c r="I159" s="75"/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</x:row>
    <x:row r="160">
      <x:c r="A160" s="75"/>
      <x:c r="B160" s="75"/>
      <x:c r="C160" s="75"/>
      <x:c r="D160" s="75"/>
      <x:c r="E160" s="75"/>
      <x:c r="F160" s="75"/>
      <x:c r="G160" s="75"/>
      <x:c r="H160" s="75"/>
      <x:c r="I160" s="75"/>
      <x:c r="J160" s="75"/>
      <x:c r="K160" s="75"/>
      <x:c r="L160" s="75"/>
      <x:c r="M160" s="75"/>
      <x:c r="N160" s="75"/>
      <x:c r="O160" s="75"/>
      <x:c r="P160" s="75"/>
      <x:c r="Q160" s="75"/>
      <x:c r="R160" s="75"/>
      <x:c r="S160" s="75"/>
      <x:c r="T160" s="75"/>
      <x:c r="U160" s="75"/>
      <x:c r="V160" s="75"/>
      <x:c r="W160" s="75"/>
      <x:c r="X160" s="75"/>
      <x:c r="Y160" s="75"/>
      <x:c r="Z160" s="75"/>
    </x:row>
    <x:row r="161">
      <x:c r="A161" s="75"/>
      <x:c r="B161" s="75"/>
      <x:c r="C161" s="75"/>
      <x:c r="D161" s="75"/>
      <x:c r="E161" s="75"/>
      <x:c r="F161" s="75"/>
      <x:c r="G161" s="75"/>
      <x:c r="H161" s="75"/>
      <x:c r="I161" s="75"/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</x:row>
    <x:row r="162">
      <x:c r="A162" s="75"/>
      <x:c r="B162" s="75"/>
      <x:c r="C162" s="75"/>
      <x:c r="D162" s="75"/>
      <x:c r="E162" s="75"/>
      <x:c r="F162" s="75"/>
      <x:c r="G162" s="75"/>
      <x:c r="H162" s="75"/>
      <x:c r="I162" s="75"/>
      <x:c r="J162" s="75"/>
      <x:c r="K162" s="75"/>
      <x:c r="L162" s="75"/>
      <x:c r="M162" s="75"/>
      <x:c r="N162" s="75"/>
      <x:c r="O162" s="75"/>
      <x:c r="P162" s="75"/>
      <x:c r="Q162" s="75"/>
      <x:c r="R162" s="75"/>
      <x:c r="S162" s="75"/>
      <x:c r="T162" s="75"/>
      <x:c r="U162" s="75"/>
      <x:c r="V162" s="75"/>
      <x:c r="W162" s="75"/>
      <x:c r="X162" s="75"/>
      <x:c r="Y162" s="75"/>
      <x:c r="Z162" s="75"/>
    </x:row>
    <x:row r="163">
      <x:c r="A163" s="75"/>
      <x:c r="B163" s="75"/>
      <x:c r="C163" s="75"/>
      <x:c r="D163" s="75"/>
      <x:c r="E163" s="75"/>
      <x:c r="F163" s="75"/>
      <x:c r="G163" s="75"/>
      <x:c r="H163" s="75"/>
      <x:c r="I163" s="75"/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</x:row>
    <x:row r="164">
      <x:c r="A164" s="75"/>
      <x:c r="B164" s="75"/>
      <x:c r="C164" s="75"/>
      <x:c r="D164" s="75"/>
      <x:c r="E164" s="75"/>
      <x:c r="F164" s="75"/>
      <x:c r="G164" s="75"/>
      <x:c r="H164" s="75"/>
      <x:c r="I164" s="75"/>
      <x:c r="J164" s="75"/>
      <x:c r="K164" s="75"/>
      <x:c r="L164" s="75"/>
      <x:c r="M164" s="75"/>
      <x:c r="N164" s="75"/>
      <x:c r="O164" s="75"/>
      <x:c r="P164" s="75"/>
      <x:c r="Q164" s="75"/>
      <x:c r="R164" s="75"/>
      <x:c r="S164" s="75"/>
      <x:c r="T164" s="75"/>
      <x:c r="U164" s="75"/>
      <x:c r="V164" s="75"/>
      <x:c r="W164" s="75"/>
      <x:c r="X164" s="75"/>
      <x:c r="Y164" s="75"/>
      <x:c r="Z164" s="75"/>
    </x:row>
    <x:row r="165">
      <x:c r="A165" s="75"/>
      <x:c r="B165" s="75"/>
      <x:c r="C165" s="75"/>
      <x:c r="D165" s="75"/>
      <x:c r="E165" s="75"/>
      <x:c r="F165" s="75"/>
      <x:c r="G165" s="75"/>
      <x:c r="H165" s="75"/>
      <x:c r="I165" s="75"/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</x:row>
    <x:row r="166">
      <x:c r="A166" s="75"/>
      <x:c r="B166" s="75"/>
      <x:c r="C166" s="75"/>
      <x:c r="D166" s="75"/>
      <x:c r="E166" s="75"/>
      <x:c r="F166" s="75"/>
      <x:c r="G166" s="75"/>
      <x:c r="H166" s="75"/>
      <x:c r="I166" s="75"/>
      <x:c r="J166" s="75"/>
      <x:c r="K166" s="75"/>
      <x:c r="L166" s="75"/>
      <x:c r="M166" s="75"/>
      <x:c r="N166" s="75"/>
      <x:c r="O166" s="75"/>
      <x:c r="P166" s="75"/>
      <x:c r="Q166" s="75"/>
      <x:c r="R166" s="75"/>
      <x:c r="S166" s="75"/>
      <x:c r="T166" s="75"/>
      <x:c r="U166" s="75"/>
      <x:c r="V166" s="75"/>
      <x:c r="W166" s="75"/>
      <x:c r="X166" s="75"/>
      <x:c r="Y166" s="75"/>
      <x:c r="Z166" s="75"/>
    </x:row>
    <x:row r="167">
      <x:c r="A167" s="75"/>
      <x:c r="B167" s="75"/>
      <x:c r="C167" s="75"/>
      <x:c r="D167" s="75"/>
      <x:c r="E167" s="75"/>
      <x:c r="F167" s="75"/>
      <x:c r="G167" s="75"/>
      <x:c r="H167" s="75"/>
      <x:c r="I167" s="75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</x:row>
    <x:row r="168">
      <x:c r="A168" s="75"/>
      <x:c r="B168" s="75"/>
      <x:c r="C168" s="75"/>
      <x:c r="D168" s="75"/>
      <x:c r="E168" s="75"/>
      <x:c r="F168" s="75"/>
      <x:c r="G168" s="75"/>
      <x:c r="H168" s="75"/>
      <x:c r="I168" s="75"/>
      <x:c r="J168" s="75"/>
      <x:c r="K168" s="75"/>
      <x:c r="L168" s="75"/>
      <x:c r="M168" s="75"/>
      <x:c r="N168" s="75"/>
      <x:c r="O168" s="75"/>
      <x:c r="P168" s="75"/>
      <x:c r="Q168" s="75"/>
      <x:c r="R168" s="75"/>
      <x:c r="S168" s="75"/>
      <x:c r="T168" s="75"/>
      <x:c r="U168" s="75"/>
      <x:c r="V168" s="75"/>
      <x:c r="W168" s="75"/>
      <x:c r="X168" s="75"/>
      <x:c r="Y168" s="75"/>
      <x:c r="Z168" s="75"/>
    </x:row>
    <x:row r="169">
      <x:c r="A169" s="75"/>
      <x:c r="B169" s="75"/>
      <x:c r="C169" s="75"/>
      <x:c r="D169" s="75"/>
      <x:c r="E169" s="75"/>
      <x:c r="F169" s="75"/>
      <x:c r="G169" s="75"/>
      <x:c r="H169" s="75"/>
      <x:c r="I169" s="75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</x:row>
    <x:row r="170">
      <x:c r="A170" s="75"/>
      <x:c r="B170" s="75"/>
      <x:c r="C170" s="75"/>
      <x:c r="D170" s="75"/>
      <x:c r="E170" s="75"/>
      <x:c r="F170" s="75"/>
      <x:c r="G170" s="75"/>
      <x:c r="H170" s="75"/>
      <x:c r="I170" s="75"/>
      <x:c r="J170" s="75"/>
      <x:c r="K170" s="75"/>
      <x:c r="L170" s="75"/>
      <x:c r="M170" s="75"/>
      <x:c r="N170" s="75"/>
      <x:c r="O170" s="75"/>
      <x:c r="P170" s="75"/>
      <x:c r="Q170" s="75"/>
      <x:c r="R170" s="75"/>
      <x:c r="S170" s="75"/>
      <x:c r="T170" s="75"/>
      <x:c r="U170" s="75"/>
      <x:c r="V170" s="75"/>
      <x:c r="W170" s="75"/>
      <x:c r="X170" s="75"/>
      <x:c r="Y170" s="75"/>
      <x:c r="Z170" s="75"/>
    </x:row>
    <x:row r="171">
      <x:c r="A171" s="75"/>
      <x:c r="B171" s="75"/>
      <x:c r="C171" s="75"/>
      <x:c r="D171" s="75"/>
      <x:c r="E171" s="75"/>
      <x:c r="F171" s="75"/>
      <x:c r="G171" s="75"/>
      <x:c r="H171" s="75"/>
      <x:c r="I171" s="75"/>
      <x:c r="J171" s="75"/>
      <x:c r="K171" s="75"/>
      <x:c r="L171" s="75"/>
      <x:c r="M171" s="75"/>
      <x:c r="N171" s="75"/>
      <x:c r="O171" s="75"/>
      <x:c r="P171" s="75"/>
      <x:c r="Q171" s="75"/>
      <x:c r="R171" s="75"/>
      <x:c r="S171" s="75"/>
      <x:c r="T171" s="75"/>
      <x:c r="U171" s="75"/>
      <x:c r="V171" s="75"/>
      <x:c r="W171" s="75"/>
      <x:c r="X171" s="75"/>
      <x:c r="Y171" s="75"/>
      <x:c r="Z171" s="75"/>
    </x:row>
    <x:row r="172">
      <x:c r="A172" s="75"/>
      <x:c r="B172" s="75"/>
      <x:c r="C172" s="75"/>
      <x:c r="D172" s="75"/>
      <x:c r="E172" s="75"/>
      <x:c r="F172" s="75"/>
      <x:c r="G172" s="75"/>
      <x:c r="H172" s="75"/>
      <x:c r="I172" s="75"/>
      <x:c r="J172" s="75"/>
      <x:c r="K172" s="75"/>
      <x:c r="L172" s="75"/>
      <x:c r="M172" s="75"/>
      <x:c r="N172" s="75"/>
      <x:c r="O172" s="75"/>
      <x:c r="P172" s="75"/>
      <x:c r="Q172" s="75"/>
      <x:c r="R172" s="75"/>
      <x:c r="S172" s="75"/>
      <x:c r="T172" s="75"/>
      <x:c r="U172" s="75"/>
      <x:c r="V172" s="75"/>
      <x:c r="W172" s="75"/>
      <x:c r="X172" s="75"/>
      <x:c r="Y172" s="75"/>
      <x:c r="Z172" s="75"/>
    </x:row>
    <x:row r="173">
      <x:c r="A173" s="75"/>
      <x:c r="B173" s="75"/>
      <x:c r="C173" s="75"/>
      <x:c r="D173" s="75"/>
      <x:c r="E173" s="75"/>
      <x:c r="F173" s="75"/>
      <x:c r="G173" s="75"/>
      <x:c r="H173" s="75"/>
      <x:c r="I173" s="75"/>
      <x:c r="J173" s="75"/>
      <x:c r="K173" s="75"/>
      <x:c r="L173" s="75"/>
      <x:c r="M173" s="75"/>
      <x:c r="N173" s="75"/>
      <x:c r="O173" s="75"/>
      <x:c r="P173" s="75"/>
      <x:c r="Q173" s="75"/>
      <x:c r="R173" s="75"/>
      <x:c r="S173" s="75"/>
      <x:c r="T173" s="75"/>
      <x:c r="U173" s="75"/>
      <x:c r="V173" s="75"/>
      <x:c r="W173" s="75"/>
      <x:c r="X173" s="75"/>
      <x:c r="Y173" s="75"/>
      <x:c r="Z173" s="75"/>
    </x:row>
    <x:row r="174">
      <x:c r="A174" s="75"/>
      <x:c r="B174" s="75"/>
      <x:c r="C174" s="75"/>
      <x:c r="D174" s="75"/>
      <x:c r="E174" s="75"/>
      <x:c r="F174" s="75"/>
      <x:c r="G174" s="75"/>
      <x:c r="H174" s="75"/>
      <x:c r="I174" s="75"/>
      <x:c r="J174" s="75"/>
      <x:c r="K174" s="75"/>
      <x:c r="L174" s="75"/>
      <x:c r="M174" s="75"/>
      <x:c r="N174" s="75"/>
      <x:c r="O174" s="75"/>
      <x:c r="P174" s="75"/>
      <x:c r="Q174" s="75"/>
      <x:c r="R174" s="75"/>
      <x:c r="S174" s="75"/>
      <x:c r="T174" s="75"/>
      <x:c r="U174" s="75"/>
      <x:c r="V174" s="75"/>
      <x:c r="W174" s="75"/>
      <x:c r="X174" s="75"/>
      <x:c r="Y174" s="75"/>
      <x:c r="Z174" s="75"/>
    </x:row>
    <x:row r="175">
      <x:c r="A175" s="75"/>
      <x:c r="B175" s="75"/>
      <x:c r="C175" s="75"/>
      <x:c r="D175" s="75"/>
      <x:c r="E175" s="75"/>
      <x:c r="F175" s="75"/>
      <x:c r="G175" s="75"/>
      <x:c r="H175" s="75"/>
      <x:c r="I175" s="75"/>
      <x:c r="J175" s="75"/>
      <x:c r="K175" s="75"/>
      <x:c r="L175" s="75"/>
      <x:c r="M175" s="75"/>
      <x:c r="N175" s="75"/>
      <x:c r="O175" s="75"/>
      <x:c r="P175" s="75"/>
      <x:c r="Q175" s="75"/>
      <x:c r="R175" s="75"/>
      <x:c r="S175" s="75"/>
      <x:c r="T175" s="75"/>
      <x:c r="U175" s="75"/>
      <x:c r="V175" s="75"/>
      <x:c r="W175" s="75"/>
      <x:c r="X175" s="75"/>
      <x:c r="Y175" s="75"/>
      <x:c r="Z175" s="75"/>
    </x:row>
    <x:row r="176">
      <x:c r="A176" s="75"/>
      <x:c r="B176" s="75"/>
      <x:c r="C176" s="75"/>
      <x:c r="D176" s="75"/>
      <x:c r="E176" s="75"/>
      <x:c r="F176" s="75"/>
      <x:c r="G176" s="75"/>
      <x:c r="H176" s="75"/>
      <x:c r="I176" s="75"/>
      <x:c r="J176" s="75"/>
      <x:c r="K176" s="75"/>
      <x:c r="L176" s="75"/>
      <x:c r="M176" s="75"/>
      <x:c r="N176" s="75"/>
      <x:c r="O176" s="75"/>
      <x:c r="P176" s="75"/>
      <x:c r="Q176" s="75"/>
      <x:c r="R176" s="75"/>
      <x:c r="S176" s="75"/>
      <x:c r="T176" s="75"/>
      <x:c r="U176" s="75"/>
      <x:c r="V176" s="75"/>
      <x:c r="W176" s="75"/>
      <x:c r="X176" s="75"/>
      <x:c r="Y176" s="75"/>
      <x:c r="Z176" s="75"/>
    </x:row>
    <x:row r="177">
      <x:c r="A177" s="75"/>
      <x:c r="B177" s="75"/>
      <x:c r="C177" s="75"/>
      <x:c r="D177" s="75"/>
      <x:c r="E177" s="75"/>
      <x:c r="F177" s="75"/>
      <x:c r="G177" s="75"/>
      <x:c r="H177" s="75"/>
      <x:c r="I177" s="75"/>
      <x:c r="J177" s="75"/>
      <x:c r="K177" s="75"/>
      <x:c r="L177" s="75"/>
      <x:c r="M177" s="75"/>
      <x:c r="N177" s="75"/>
      <x:c r="O177" s="75"/>
      <x:c r="P177" s="75"/>
      <x:c r="Q177" s="75"/>
      <x:c r="R177" s="75"/>
      <x:c r="S177" s="75"/>
      <x:c r="T177" s="75"/>
      <x:c r="U177" s="75"/>
      <x:c r="V177" s="75"/>
      <x:c r="W177" s="75"/>
      <x:c r="X177" s="75"/>
      <x:c r="Y177" s="75"/>
      <x:c r="Z177" s="75"/>
    </x:row>
    <x:row r="178">
      <x:c r="A178" s="75"/>
      <x:c r="B178" s="75"/>
      <x:c r="C178" s="75"/>
      <x:c r="D178" s="75"/>
      <x:c r="E178" s="75"/>
      <x:c r="F178" s="75"/>
      <x:c r="G178" s="75"/>
      <x:c r="H178" s="75"/>
      <x:c r="I178" s="75"/>
      <x:c r="J178" s="75"/>
      <x:c r="K178" s="75"/>
      <x:c r="L178" s="75"/>
      <x:c r="M178" s="75"/>
      <x:c r="N178" s="75"/>
      <x:c r="O178" s="75"/>
      <x:c r="P178" s="75"/>
      <x:c r="Q178" s="75"/>
      <x:c r="R178" s="75"/>
      <x:c r="S178" s="75"/>
      <x:c r="T178" s="75"/>
      <x:c r="U178" s="75"/>
      <x:c r="V178" s="75"/>
      <x:c r="W178" s="75"/>
      <x:c r="X178" s="75"/>
      <x:c r="Y178" s="75"/>
      <x:c r="Z178" s="75"/>
    </x:row>
    <x:row r="179">
      <x:c r="A179" s="75"/>
      <x:c r="B179" s="75"/>
      <x:c r="C179" s="75"/>
      <x:c r="D179" s="75"/>
      <x:c r="E179" s="75"/>
      <x:c r="F179" s="75"/>
      <x:c r="G179" s="75"/>
      <x:c r="H179" s="75"/>
      <x:c r="I179" s="75"/>
      <x:c r="J179" s="75"/>
      <x:c r="K179" s="75"/>
      <x:c r="L179" s="75"/>
      <x:c r="M179" s="75"/>
      <x:c r="N179" s="75"/>
      <x:c r="O179" s="75"/>
      <x:c r="P179" s="75"/>
      <x:c r="Q179" s="75"/>
      <x:c r="R179" s="75"/>
      <x:c r="S179" s="75"/>
      <x:c r="T179" s="75"/>
      <x:c r="U179" s="75"/>
      <x:c r="V179" s="75"/>
      <x:c r="W179" s="75"/>
      <x:c r="X179" s="75"/>
      <x:c r="Y179" s="75"/>
      <x:c r="Z179" s="75"/>
    </x:row>
    <x:row r="180">
      <x:c r="A180" s="75"/>
      <x:c r="B180" s="75"/>
      <x:c r="C180" s="75"/>
      <x:c r="D180" s="75"/>
      <x:c r="E180" s="75"/>
      <x:c r="F180" s="75"/>
      <x:c r="G180" s="75"/>
      <x:c r="H180" s="75"/>
      <x:c r="I180" s="75"/>
      <x:c r="J180" s="75"/>
      <x:c r="K180" s="75"/>
      <x:c r="L180" s="75"/>
      <x:c r="M180" s="75"/>
      <x:c r="N180" s="75"/>
      <x:c r="O180" s="75"/>
      <x:c r="P180" s="75"/>
      <x:c r="Q180" s="75"/>
      <x:c r="R180" s="75"/>
      <x:c r="S180" s="75"/>
      <x:c r="T180" s="75"/>
      <x:c r="U180" s="75"/>
      <x:c r="V180" s="75"/>
      <x:c r="W180" s="75"/>
      <x:c r="X180" s="75"/>
      <x:c r="Y180" s="75"/>
      <x:c r="Z180" s="75"/>
    </x:row>
    <x:row r="181">
      <x:c r="A181" s="75"/>
      <x:c r="B181" s="75"/>
      <x:c r="C181" s="75"/>
      <x:c r="D181" s="75"/>
      <x:c r="E181" s="75"/>
      <x:c r="F181" s="75"/>
      <x:c r="G181" s="75"/>
      <x:c r="H181" s="75"/>
      <x:c r="I181" s="75"/>
      <x:c r="J181" s="75"/>
      <x:c r="K181" s="75"/>
      <x:c r="L181" s="75"/>
      <x:c r="M181" s="75"/>
      <x:c r="N181" s="75"/>
      <x:c r="O181" s="75"/>
      <x:c r="P181" s="75"/>
      <x:c r="Q181" s="75"/>
      <x:c r="R181" s="75"/>
      <x:c r="S181" s="75"/>
      <x:c r="T181" s="75"/>
      <x:c r="U181" s="75"/>
      <x:c r="V181" s="75"/>
      <x:c r="W181" s="75"/>
      <x:c r="X181" s="75"/>
      <x:c r="Y181" s="75"/>
      <x:c r="Z181" s="75"/>
    </x:row>
    <x:row r="182">
      <x:c r="A182" s="75"/>
      <x:c r="B182" s="75"/>
      <x:c r="C182" s="75"/>
      <x:c r="D182" s="75"/>
      <x:c r="E182" s="75"/>
      <x:c r="F182" s="75"/>
      <x:c r="G182" s="75"/>
      <x:c r="H182" s="75"/>
      <x:c r="I182" s="75"/>
      <x:c r="J182" s="75"/>
      <x:c r="K182" s="75"/>
      <x:c r="L182" s="75"/>
      <x:c r="M182" s="75"/>
      <x:c r="N182" s="75"/>
      <x:c r="O182" s="75"/>
      <x:c r="P182" s="75"/>
      <x:c r="Q182" s="75"/>
      <x:c r="R182" s="75"/>
      <x:c r="S182" s="75"/>
      <x:c r="T182" s="75"/>
      <x:c r="U182" s="75"/>
      <x:c r="V182" s="75"/>
      <x:c r="W182" s="75"/>
      <x:c r="X182" s="75"/>
      <x:c r="Y182" s="75"/>
      <x:c r="Z182" s="75"/>
    </x:row>
    <x:row r="183">
      <x:c r="A183" s="75"/>
      <x:c r="B183" s="75"/>
      <x:c r="C183" s="75"/>
      <x:c r="D183" s="75"/>
      <x:c r="E183" s="75"/>
      <x:c r="F183" s="75"/>
      <x:c r="G183" s="75"/>
      <x:c r="H183" s="75"/>
      <x:c r="I183" s="75"/>
      <x:c r="J183" s="75"/>
      <x:c r="K183" s="75"/>
      <x:c r="L183" s="75"/>
      <x:c r="M183" s="75"/>
      <x:c r="N183" s="75"/>
      <x:c r="O183" s="75"/>
      <x:c r="P183" s="75"/>
      <x:c r="Q183" s="75"/>
      <x:c r="R183" s="75"/>
      <x:c r="S183" s="75"/>
      <x:c r="T183" s="75"/>
      <x:c r="U183" s="75"/>
      <x:c r="V183" s="75"/>
      <x:c r="W183" s="75"/>
      <x:c r="X183" s="75"/>
      <x:c r="Y183" s="75"/>
      <x:c r="Z183" s="75"/>
    </x:row>
    <x:row r="184">
      <x:c r="A184" s="75"/>
      <x:c r="B184" s="75"/>
      <x:c r="C184" s="75"/>
      <x:c r="D184" s="75"/>
      <x:c r="E184" s="75"/>
      <x:c r="F184" s="75"/>
      <x:c r="G184" s="75"/>
      <x:c r="H184" s="75"/>
      <x:c r="I184" s="75"/>
      <x:c r="J184" s="75"/>
      <x:c r="K184" s="75"/>
      <x:c r="L184" s="75"/>
      <x:c r="M184" s="75"/>
      <x:c r="N184" s="75"/>
      <x:c r="O184" s="75"/>
      <x:c r="P184" s="75"/>
      <x:c r="Q184" s="75"/>
      <x:c r="R184" s="75"/>
      <x:c r="S184" s="75"/>
      <x:c r="T184" s="75"/>
      <x:c r="U184" s="75"/>
      <x:c r="V184" s="75"/>
      <x:c r="W184" s="75"/>
      <x:c r="X184" s="75"/>
      <x:c r="Y184" s="75"/>
      <x:c r="Z184" s="75"/>
    </x:row>
    <x:row r="185">
      <x:c r="A185" s="75"/>
      <x:c r="B185" s="75"/>
      <x:c r="C185" s="75"/>
      <x:c r="D185" s="75"/>
      <x:c r="E185" s="75"/>
      <x:c r="F185" s="75"/>
      <x:c r="G185" s="75"/>
      <x:c r="H185" s="75"/>
      <x:c r="I185" s="75"/>
      <x:c r="J185" s="75"/>
      <x:c r="K185" s="75"/>
      <x:c r="L185" s="75"/>
      <x:c r="M185" s="75"/>
      <x:c r="N185" s="75"/>
      <x:c r="O185" s="75"/>
      <x:c r="P185" s="75"/>
      <x:c r="Q185" s="75"/>
      <x:c r="R185" s="75"/>
      <x:c r="S185" s="75"/>
      <x:c r="T185" s="75"/>
      <x:c r="U185" s="75"/>
      <x:c r="V185" s="75"/>
      <x:c r="W185" s="75"/>
      <x:c r="X185" s="75"/>
      <x:c r="Y185" s="75"/>
      <x:c r="Z185" s="75"/>
    </x:row>
    <x:row r="186">
      <x:c r="A186" s="75"/>
      <x:c r="B186" s="75"/>
      <x:c r="C186" s="75"/>
      <x:c r="D186" s="75"/>
      <x:c r="E186" s="75"/>
      <x:c r="F186" s="75"/>
      <x:c r="G186" s="75"/>
      <x:c r="H186" s="75"/>
      <x:c r="I186" s="75"/>
      <x:c r="J186" s="75"/>
      <x:c r="K186" s="75"/>
      <x:c r="L186" s="75"/>
      <x:c r="M186" s="75"/>
      <x:c r="N186" s="75"/>
      <x:c r="O186" s="75"/>
      <x:c r="P186" s="75"/>
      <x:c r="Q186" s="75"/>
      <x:c r="R186" s="75"/>
      <x:c r="S186" s="75"/>
      <x:c r="T186" s="75"/>
      <x:c r="U186" s="75"/>
      <x:c r="V186" s="75"/>
      <x:c r="W186" s="75"/>
      <x:c r="X186" s="75"/>
      <x:c r="Y186" s="75"/>
      <x:c r="Z186" s="75"/>
    </x:row>
    <x:row r="187">
      <x:c r="A187" s="75"/>
      <x:c r="B187" s="75"/>
      <x:c r="C187" s="75"/>
      <x:c r="D187" s="75"/>
      <x:c r="E187" s="75"/>
      <x:c r="F187" s="75"/>
      <x:c r="G187" s="75"/>
      <x:c r="H187" s="75"/>
      <x:c r="I187" s="75"/>
      <x:c r="J187" s="75"/>
      <x:c r="K187" s="75"/>
      <x:c r="L187" s="75"/>
      <x:c r="M187" s="75"/>
      <x:c r="N187" s="75"/>
      <x:c r="O187" s="75"/>
      <x:c r="P187" s="75"/>
      <x:c r="Q187" s="75"/>
      <x:c r="R187" s="75"/>
      <x:c r="S187" s="75"/>
      <x:c r="T187" s="75"/>
      <x:c r="U187" s="75"/>
      <x:c r="V187" s="75"/>
      <x:c r="W187" s="75"/>
      <x:c r="X187" s="75"/>
      <x:c r="Y187" s="75"/>
      <x:c r="Z187" s="75"/>
    </x:row>
    <x:row r="188">
      <x:c r="A188" s="75"/>
      <x:c r="B188" s="75"/>
      <x:c r="C188" s="75"/>
      <x:c r="D188" s="75"/>
      <x:c r="E188" s="75"/>
      <x:c r="F188" s="75"/>
      <x:c r="G188" s="75"/>
      <x:c r="H188" s="75"/>
      <x:c r="I188" s="75"/>
      <x:c r="J188" s="75"/>
      <x:c r="K188" s="75"/>
      <x:c r="L188" s="75"/>
      <x:c r="M188" s="75"/>
      <x:c r="N188" s="75"/>
      <x:c r="O188" s="75"/>
      <x:c r="P188" s="75"/>
      <x:c r="Q188" s="75"/>
      <x:c r="R188" s="75"/>
      <x:c r="S188" s="75"/>
      <x:c r="T188" s="75"/>
      <x:c r="U188" s="75"/>
      <x:c r="V188" s="75"/>
      <x:c r="W188" s="75"/>
      <x:c r="X188" s="75"/>
      <x:c r="Y188" s="75"/>
      <x:c r="Z188" s="75"/>
    </x:row>
    <x:row r="189">
      <x:c r="A189" s="75"/>
      <x:c r="B189" s="75"/>
      <x:c r="C189" s="75"/>
      <x:c r="D189" s="75"/>
      <x:c r="E189" s="75"/>
      <x:c r="F189" s="75"/>
      <x:c r="G189" s="75"/>
      <x:c r="H189" s="75"/>
      <x:c r="I189" s="75"/>
      <x:c r="J189" s="75"/>
      <x:c r="K189" s="75"/>
      <x:c r="L189" s="75"/>
      <x:c r="M189" s="75"/>
      <x:c r="N189" s="75"/>
      <x:c r="O189" s="75"/>
      <x:c r="P189" s="75"/>
      <x:c r="Q189" s="75"/>
      <x:c r="R189" s="75"/>
      <x:c r="S189" s="75"/>
      <x:c r="T189" s="75"/>
      <x:c r="U189" s="75"/>
      <x:c r="V189" s="75"/>
      <x:c r="W189" s="75"/>
      <x:c r="X189" s="75"/>
      <x:c r="Y189" s="75"/>
      <x:c r="Z189" s="75"/>
    </x:row>
    <x:row r="190">
      <x:c r="A190" s="75"/>
      <x:c r="B190" s="75"/>
      <x:c r="C190" s="75"/>
      <x:c r="D190" s="75"/>
      <x:c r="E190" s="75"/>
      <x:c r="F190" s="75"/>
      <x:c r="G190" s="75"/>
      <x:c r="H190" s="75"/>
      <x:c r="I190" s="75"/>
      <x:c r="J190" s="75"/>
      <x:c r="K190" s="75"/>
      <x:c r="L190" s="75"/>
      <x:c r="M190" s="75"/>
      <x:c r="N190" s="75"/>
      <x:c r="O190" s="75"/>
      <x:c r="P190" s="75"/>
      <x:c r="Q190" s="75"/>
      <x:c r="R190" s="75"/>
      <x:c r="S190" s="75"/>
      <x:c r="T190" s="75"/>
      <x:c r="U190" s="75"/>
      <x:c r="V190" s="75"/>
      <x:c r="W190" s="75"/>
      <x:c r="X190" s="75"/>
      <x:c r="Y190" s="75"/>
      <x:c r="Z190" s="75"/>
    </x:row>
    <x:row r="191">
      <x:c r="A191" s="75"/>
      <x:c r="B191" s="75"/>
      <x:c r="C191" s="75"/>
      <x:c r="D191" s="75"/>
      <x:c r="E191" s="75"/>
      <x:c r="F191" s="75"/>
      <x:c r="G191" s="75"/>
      <x:c r="H191" s="75"/>
      <x:c r="I191" s="75"/>
      <x:c r="J191" s="75"/>
      <x:c r="K191" s="75"/>
      <x:c r="L191" s="75"/>
      <x:c r="M191" s="75"/>
      <x:c r="N191" s="75"/>
      <x:c r="O191" s="75"/>
      <x:c r="P191" s="75"/>
      <x:c r="Q191" s="75"/>
      <x:c r="R191" s="75"/>
      <x:c r="S191" s="75"/>
      <x:c r="T191" s="75"/>
      <x:c r="U191" s="75"/>
      <x:c r="V191" s="75"/>
      <x:c r="W191" s="75"/>
      <x:c r="X191" s="75"/>
      <x:c r="Y191" s="75"/>
      <x:c r="Z191" s="75"/>
    </x:row>
    <x:row r="192">
      <x:c r="A192" s="75"/>
      <x:c r="B192" s="75"/>
      <x:c r="C192" s="75"/>
      <x:c r="D192" s="75"/>
      <x:c r="E192" s="75"/>
      <x:c r="F192" s="75"/>
      <x:c r="G192" s="75"/>
      <x:c r="H192" s="75"/>
      <x:c r="I192" s="75"/>
      <x:c r="J192" s="75"/>
      <x:c r="K192" s="75"/>
      <x:c r="L192" s="75"/>
      <x:c r="M192" s="75"/>
      <x:c r="N192" s="75"/>
      <x:c r="O192" s="75"/>
      <x:c r="P192" s="75"/>
      <x:c r="Q192" s="75"/>
      <x:c r="R192" s="75"/>
      <x:c r="S192" s="75"/>
      <x:c r="T192" s="75"/>
      <x:c r="U192" s="75"/>
      <x:c r="V192" s="75"/>
      <x:c r="W192" s="75"/>
      <x:c r="X192" s="75"/>
      <x:c r="Y192" s="75"/>
      <x:c r="Z192" s="75"/>
    </x:row>
    <x:row r="193">
      <x:c r="A193" s="75"/>
      <x:c r="B193" s="75"/>
      <x:c r="C193" s="75"/>
      <x:c r="D193" s="75"/>
      <x:c r="E193" s="75"/>
      <x:c r="F193" s="75"/>
      <x:c r="G193" s="75"/>
      <x:c r="H193" s="75"/>
      <x:c r="I193" s="75"/>
      <x:c r="J193" s="75"/>
      <x:c r="K193" s="75"/>
      <x:c r="L193" s="75"/>
      <x:c r="M193" s="75"/>
      <x:c r="N193" s="75"/>
      <x:c r="O193" s="75"/>
      <x:c r="P193" s="75"/>
      <x:c r="Q193" s="75"/>
      <x:c r="R193" s="75"/>
      <x:c r="S193" s="75"/>
      <x:c r="T193" s="75"/>
      <x:c r="U193" s="75"/>
      <x:c r="V193" s="75"/>
      <x:c r="W193" s="75"/>
      <x:c r="X193" s="75"/>
      <x:c r="Y193" s="75"/>
      <x:c r="Z193" s="75"/>
    </x:row>
    <x:row r="194">
      <x:c r="A194" s="75"/>
      <x:c r="B194" s="75"/>
      <x:c r="C194" s="75"/>
      <x:c r="D194" s="75"/>
      <x:c r="E194" s="75"/>
      <x:c r="F194" s="75"/>
      <x:c r="G194" s="75"/>
      <x:c r="H194" s="75"/>
      <x:c r="I194" s="75"/>
      <x:c r="J194" s="75"/>
      <x:c r="K194" s="75"/>
      <x:c r="L194" s="75"/>
      <x:c r="M194" s="75"/>
      <x:c r="N194" s="75"/>
      <x:c r="O194" s="75"/>
      <x:c r="P194" s="75"/>
      <x:c r="Q194" s="75"/>
      <x:c r="R194" s="75"/>
      <x:c r="S194" s="75"/>
      <x:c r="T194" s="75"/>
      <x:c r="U194" s="75"/>
      <x:c r="V194" s="75"/>
      <x:c r="W194" s="75"/>
      <x:c r="X194" s="75"/>
      <x:c r="Y194" s="75"/>
      <x:c r="Z194" s="75"/>
    </x:row>
    <x:row r="195">
      <x:c r="A195" s="75"/>
      <x:c r="B195" s="75"/>
      <x:c r="C195" s="75"/>
      <x:c r="D195" s="75"/>
      <x:c r="E195" s="75"/>
      <x:c r="F195" s="75"/>
      <x:c r="G195" s="75"/>
      <x:c r="H195" s="75"/>
      <x:c r="I195" s="75"/>
      <x:c r="J195" s="75"/>
      <x:c r="K195" s="75"/>
      <x:c r="L195" s="75"/>
      <x:c r="M195" s="75"/>
      <x:c r="N195" s="75"/>
      <x:c r="O195" s="75"/>
      <x:c r="P195" s="75"/>
      <x:c r="Q195" s="75"/>
      <x:c r="R195" s="75"/>
      <x:c r="S195" s="75"/>
      <x:c r="T195" s="75"/>
      <x:c r="U195" s="75"/>
      <x:c r="V195" s="75"/>
      <x:c r="W195" s="75"/>
      <x:c r="X195" s="75"/>
      <x:c r="Y195" s="75"/>
      <x:c r="Z195" s="75"/>
    </x:row>
    <x:row r="196">
      <x:c r="A196" s="75"/>
      <x:c r="B196" s="75"/>
      <x:c r="C196" s="75"/>
      <x:c r="D196" s="75"/>
      <x:c r="E196" s="75"/>
      <x:c r="F196" s="75"/>
      <x:c r="G196" s="75"/>
      <x:c r="H196" s="75"/>
      <x:c r="I196" s="75"/>
      <x:c r="J196" s="75"/>
      <x:c r="K196" s="75"/>
      <x:c r="L196" s="75"/>
      <x:c r="M196" s="75"/>
      <x:c r="N196" s="75"/>
      <x:c r="O196" s="75"/>
      <x:c r="P196" s="75"/>
      <x:c r="Q196" s="75"/>
      <x:c r="R196" s="75"/>
      <x:c r="S196" s="75"/>
      <x:c r="T196" s="75"/>
      <x:c r="U196" s="75"/>
      <x:c r="V196" s="75"/>
      <x:c r="W196" s="75"/>
      <x:c r="X196" s="75"/>
      <x:c r="Y196" s="75"/>
      <x:c r="Z196" s="75"/>
    </x:row>
    <x:row r="197">
      <x:c r="A197" s="75"/>
      <x:c r="B197" s="75"/>
      <x:c r="C197" s="75"/>
      <x:c r="D197" s="75"/>
      <x:c r="E197" s="75"/>
      <x:c r="F197" s="75"/>
      <x:c r="G197" s="75"/>
      <x:c r="H197" s="75"/>
      <x:c r="I197" s="75"/>
      <x:c r="J197" s="75"/>
      <x:c r="K197" s="75"/>
      <x:c r="L197" s="75"/>
      <x:c r="M197" s="75"/>
      <x:c r="N197" s="75"/>
      <x:c r="O197" s="75"/>
      <x:c r="P197" s="75"/>
      <x:c r="Q197" s="75"/>
      <x:c r="R197" s="75"/>
      <x:c r="S197" s="75"/>
      <x:c r="T197" s="75"/>
      <x:c r="U197" s="75"/>
      <x:c r="V197" s="75"/>
      <x:c r="W197" s="75"/>
      <x:c r="X197" s="75"/>
      <x:c r="Y197" s="75"/>
      <x:c r="Z197" s="75"/>
    </x:row>
    <x:row r="198">
      <x:c r="A198" s="75"/>
      <x:c r="B198" s="75"/>
      <x:c r="C198" s="75"/>
      <x:c r="D198" s="75"/>
      <x:c r="E198" s="75"/>
      <x:c r="F198" s="75"/>
      <x:c r="G198" s="75"/>
      <x:c r="H198" s="75"/>
      <x:c r="I198" s="75"/>
      <x:c r="J198" s="75"/>
      <x:c r="K198" s="75"/>
      <x:c r="L198" s="75"/>
      <x:c r="M198" s="75"/>
      <x:c r="N198" s="75"/>
      <x:c r="O198" s="75"/>
      <x:c r="P198" s="75"/>
      <x:c r="Q198" s="75"/>
      <x:c r="R198" s="75"/>
      <x:c r="S198" s="75"/>
      <x:c r="T198" s="75"/>
      <x:c r="U198" s="75"/>
      <x:c r="V198" s="75"/>
      <x:c r="W198" s="75"/>
      <x:c r="X198" s="75"/>
      <x:c r="Y198" s="75"/>
      <x:c r="Z198" s="75"/>
    </x:row>
    <x:row r="199">
      <x:c r="A199" s="75"/>
      <x:c r="B199" s="75"/>
      <x:c r="C199" s="75"/>
      <x:c r="D199" s="75"/>
      <x:c r="E199" s="75"/>
      <x:c r="F199" s="75"/>
      <x:c r="G199" s="75"/>
      <x:c r="H199" s="75"/>
      <x:c r="I199" s="75"/>
      <x:c r="J199" s="75"/>
      <x:c r="K199" s="75"/>
      <x:c r="L199" s="75"/>
      <x:c r="M199" s="75"/>
      <x:c r="N199" s="75"/>
      <x:c r="O199" s="75"/>
      <x:c r="P199" s="75"/>
      <x:c r="Q199" s="75"/>
      <x:c r="R199" s="75"/>
      <x:c r="S199" s="75"/>
      <x:c r="T199" s="75"/>
      <x:c r="U199" s="75"/>
      <x:c r="V199" s="75"/>
      <x:c r="W199" s="75"/>
      <x:c r="X199" s="75"/>
      <x:c r="Y199" s="75"/>
      <x:c r="Z199" s="75"/>
    </x:row>
    <x:row r="200">
      <x:c r="A200" s="75"/>
      <x:c r="B200" s="75"/>
      <x:c r="C200" s="75"/>
      <x:c r="D200" s="75"/>
      <x:c r="E200" s="75"/>
      <x:c r="F200" s="75"/>
      <x:c r="G200" s="75"/>
      <x:c r="H200" s="75"/>
      <x:c r="I200" s="75"/>
      <x:c r="J200" s="75"/>
      <x:c r="K200" s="75"/>
      <x:c r="L200" s="75"/>
      <x:c r="M200" s="75"/>
      <x:c r="N200" s="75"/>
      <x:c r="O200" s="75"/>
      <x:c r="P200" s="75"/>
      <x:c r="Q200" s="75"/>
      <x:c r="R200" s="75"/>
      <x:c r="S200" s="75"/>
      <x:c r="T200" s="75"/>
      <x:c r="U200" s="75"/>
      <x:c r="V200" s="75"/>
      <x:c r="W200" s="75"/>
      <x:c r="X200" s="75"/>
      <x:c r="Y200" s="75"/>
      <x:c r="Z200" s="75"/>
    </x:row>
  </x:sheetData>
  <x:mergeCells>
    <x:mergeCell ref="A1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58" hidden="0" customWidth="1"/>
    <x:col min="4" max="4" width="50" hidden="0" customWidth="1"/>
  </x:cols>
  <x:sheetData>
    <x:row r="1">
      <x:c r="A1" s="94" t="str">
        <x:v>How to complete the GEM™ V3.0 Final Approval Register</x:v>
      </x:c>
      <x:c r="B1" s="94"/>
      <x:c r="C1" s="94"/>
      <x:c r="D1" s="94"/>
      <x:c r="E1" s="94"/>
      <x:c r="F1" s="94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94"/>
      <x:c r="B2" s="94"/>
      <x:c r="C2" s="94"/>
      <x:c r="D2" s="94"/>
      <x:c r="E2" s="94"/>
      <x:c r="F2" s="94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  <x:c r="S3" s="75"/>
      <x:c r="T3" s="75"/>
      <x:c r="U3" s="75"/>
      <x:c r="V3" s="75"/>
      <x:c r="W3" s="75"/>
      <x:c r="X3" s="75"/>
      <x:c r="Y3" s="75"/>
      <x:c r="Z3" s="75"/>
    </x:row>
    <x:row r="4">
      <x:c r="A4" s="104" t="str">
        <x:v>Step</x:v>
      </x:c>
      <x:c r="B4" s="104" t="str">
        <x:v>Where</x:v>
      </x:c>
      <x:c r="C4" s="104" t="str">
        <x:v>What to do</x:v>
      </x:c>
      <x:c r="D4" s="104" t="str">
        <x:v>Result / Rule</x:v>
      </x:c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 ht="46" customHeight="1">
      <x:c r="A5" s="97" t="str">
        <x:v>1</x:v>
      </x:c>
      <x:c r="B5" s="97" t="str">
        <x:v>Start in Approval Register</x:v>
      </x:c>
      <x:c r="C5" s="97" t="str">
        <x:v>This is the only sheet where brand decisions are entered. Filter by Priority or Section.</x:v>
      </x:c>
      <x:c r="D5" s="97" t="str">
        <x:v>Fill Response (column F).</x:v>
      </x:c>
      <x:c r="E5" s="75"/>
      <x:c r="F5" s="75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 ht="46" customHeight="1">
      <x:c r="A6" s="97" t="str">
        <x:v>2</x:v>
      </x:c>
      <x:c r="B6" s="97" t="str">
        <x:v>If you agree</x:v>
      </x:c>
      <x:c r="C6" s="97" t="str">
        <x:v>Choose “Approve recommendation”.</x:v>
      </x:c>
      <x:c r="D6" s="97" t="str">
        <x:v>Final Decision and Status calculate automatically.</x:v>
      </x:c>
      <x:c r="E6" s="75"/>
      <x:c r="F6" s="75"/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 ht="46" customHeight="1">
      <x:c r="A7" s="97" t="str">
        <x:v>3</x:v>
      </x:c>
      <x:c r="B7" s="97" t="str">
        <x:v>If you want a change</x:v>
      </x:c>
      <x:c r="C7" s="97" t="str">
        <x:v>Choose “Modify / custom answer” and type your final answer in column G.</x:v>
      </x:c>
      <x:c r="D7" s="97" t="str">
        <x:v>Do not leave column G blank after selecting Modify.</x:v>
      </x:c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 ht="46" customHeight="1">
      <x:c r="A8" s="97" t="str">
        <x:v>4</x:v>
      </x:c>
      <x:c r="B8" s="97" t="str">
        <x:v>If you disagree</x:v>
      </x:c>
      <x:c r="C8" s="97" t="str">
        <x:v>Choose “Reject”.</x:v>
      </x:c>
      <x:c r="D8" s="97" t="str">
        <x:v>Use Evidence / Notes to explain why if useful.</x:v>
      </x:c>
      <x:c r="E8" s="75"/>
      <x:c r="F8" s="75"/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 ht="46" customHeight="1">
      <x:c r="A9" s="97" t="str">
        <x:v>5</x:v>
      </x:c>
      <x:c r="B9" s="97" t="str">
        <x:v>If decision is premature</x:v>
      </x:c>
      <x:c r="C9" s="97" t="str">
        <x:v>Choose “Defer”.</x:v>
      </x:c>
      <x:c r="D9" s="97" t="str">
        <x:v>A deferred item remains outside approved V3.0 scope until revisited.</x:v>
      </x:c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 ht="46" customHeight="1">
      <x:c r="A10" s="97" t="str">
        <x:v>6</x:v>
      </x:c>
      <x:c r="B10" s="97" t="str">
        <x:v>If external proof is needed</x:v>
      </x:c>
      <x:c r="C10" s="97" t="str">
        <x:v>Choose “Needs evidence”.</x:v>
      </x:c>
      <x:c r="D10" s="97" t="str">
        <x:v>Track the proof in Validation &amp; Evidence.</x:v>
      </x:c>
      <x:c r="E10" s="75"/>
      <x:c r="F10" s="75"/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 ht="46" customHeight="1">
      <x:c r="A11" s="97" t="str">
        <x:v>7</x:v>
      </x:c>
      <x:c r="B11" s="97" t="str">
        <x:v>Assign accountability</x:v>
      </x:c>
      <x:c r="C11" s="97" t="str">
        <x:v>Enter Owner / Approver in column K for important items.</x:v>
      </x:c>
      <x:c r="D11" s="97" t="str">
        <x:v>Owners &amp; Governance can hold the actual named role holders.</x:v>
      </x:c>
      <x:c r="E11" s="75"/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 ht="46" customHeight="1">
      <x:c r="A12" s="97" t="str">
        <x:v>8</x:v>
      </x:c>
      <x:c r="B12" s="97" t="str">
        <x:v>Use references correctly</x:v>
      </x:c>
      <x:c r="C12" s="97" t="str">
        <x:v>Reference/benchmark sites are inspiration and industry benchmarks, not formal standards.</x:v>
      </x:c>
      <x:c r="D12" s="97" t="str">
        <x:v>See Reference &amp; Benchmark Register.</x:v>
      </x:c>
      <x:c r="E12" s="75"/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 ht="46" customHeight="1">
      <x:c r="A13" s="97" t="str">
        <x:v>9</x:v>
      </x:c>
      <x:c r="B13" s="97" t="str">
        <x:v>Review the Dashboard</x:v>
      </x:c>
      <x:c r="C13" s="97" t="str">
        <x:v>The file tracks approvals, evidence gaps and overall readiness.</x:v>
      </x:c>
      <x:c r="D13" s="97" t="str">
        <x:v>Do not authorize AC20 while critical gates remain open.</x:v>
      </x:c>
      <x:c r="E13" s="75"/>
      <x:c r="F13" s="75"/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 ht="46" customHeight="1">
      <x:c r="A14" s="97" t="str">
        <x:v>10</x:v>
      </x:c>
      <x:c r="B14" s="97" t="str">
        <x:v>Return this workbook</x:v>
      </x:c>
      <x:c r="C14" s="97" t="str">
        <x:v>Send the completed workbook back to ChatGPT.</x:v>
      </x:c>
      <x:c r="D14" s="97" t="str">
        <x:v>It will become the decision source for GEM™ Brand Guidelines V3.0.</x:v>
      </x:c>
      <x:c r="E14" s="75"/>
      <x:c r="F14" s="75"/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A15" s="75"/>
      <x:c r="B15" s="75"/>
      <x:c r="C15" s="75"/>
      <x:c r="D15" s="75"/>
      <x:c r="E15" s="75"/>
      <x:c r="F15" s="75"/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A16" s="75"/>
      <x:c r="B16" s="75"/>
      <x:c r="C16" s="75"/>
      <x:c r="D16" s="75"/>
      <x:c r="E16" s="75"/>
      <x:c r="F16" s="75"/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 ht="34" customHeight="1">
      <x:c r="A17" s="77" t="str">
        <x:v>Prefilled decision draft</x:v>
      </x:c>
      <x:c r="B17" s="77"/>
      <x:c r="C17" s="77"/>
      <x:c r="D17" s="77"/>
      <x:c r="E17" s="75"/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A18" s="81" t="str">
        <x:v>The Approval Register has been prefilled by ChatGPT on the user's behalf using the supplied GEM sources, prior discussions and best-practice recommendations.</x:v>
      </x:c>
      <x:c r="B18" s="81"/>
      <x:c r="C18" s="81"/>
      <x:c r="D18" s="81"/>
      <x:c r="E18" s="75"/>
      <x:c r="F18" s="75"/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A19" s="81" t="str">
        <x:v>Rows marked “Needs evidence” are intentionally not treated as approved facts. Complete the related Validation &amp; Evidence item before final release.</x:v>
      </x:c>
      <x:c r="B19" s="81"/>
      <x:c r="C19" s="81"/>
      <x:c r="D19" s="81"/>
      <x:c r="E19" s="75"/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A20" s="81" t="str">
        <x:v>Rows marked “Defer” remain outside production scope until a live requirement or project brief exists.</x:v>
      </x:c>
      <x:c r="B20" s="81"/>
      <x:c r="C20" s="81"/>
      <x:c r="D20" s="81"/>
      <x:c r="E20" s="75"/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A21" s="81" t="str">
        <x:v>The final V3.0 release should preserve the three-product architecture: Brand Guidelines + Digital Design System + Production Standards.</x:v>
      </x:c>
      <x:c r="B21" s="81"/>
      <x:c r="C21" s="81"/>
      <x:c r="D21" s="81"/>
      <x:c r="E21" s="75"/>
      <x:c r="F21" s="75"/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A22" s="81" t="str">
        <x:v>Before AC20, replace all TBD governance holders with actual names, close critical legal/production/Arabic/accessibility gates, and record evidence references.</x:v>
      </x:c>
      <x:c r="B22" s="81"/>
      <x:c r="C22" s="81"/>
      <x:c r="D22" s="81"/>
      <x:c r="E22" s="75"/>
      <x:c r="F22" s="75"/>
      <x:c r="G22" s="75"/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A23" s="75"/>
      <x:c r="B23" s="75"/>
      <x:c r="C23" s="75"/>
      <x:c r="D23" s="75"/>
      <x:c r="E23" s="75"/>
      <x:c r="F23" s="75"/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A24" s="75"/>
      <x:c r="B24" s="75"/>
      <x:c r="C24" s="75"/>
      <x:c r="D24" s="75"/>
      <x:c r="E24" s="75"/>
      <x:c r="F24" s="75"/>
      <x:c r="G24" s="75"/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A25" s="75"/>
      <x:c r="B25" s="75"/>
      <x:c r="C25" s="75"/>
      <x:c r="D25" s="75"/>
      <x:c r="E25" s="75"/>
      <x:c r="F25" s="75"/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A26" s="75"/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A27" s="75"/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A30" s="75"/>
      <x:c r="B30" s="75"/>
      <x:c r="C30" s="75"/>
      <x:c r="D30" s="75"/>
      <x:c r="E30" s="75"/>
      <x:c r="F30" s="75"/>
      <x:c r="G30" s="75"/>
      <x:c r="H30" s="75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A66" s="75"/>
      <x:c r="B66" s="75"/>
      <x:c r="C66" s="75"/>
      <x:c r="D66" s="75"/>
      <x:c r="E66" s="75"/>
      <x:c r="F66" s="75"/>
      <x:c r="G66" s="75"/>
      <x:c r="H66" s="75"/>
      <x:c r="I66" s="75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A67" s="75"/>
      <x:c r="B67" s="75"/>
      <x:c r="C67" s="75"/>
      <x:c r="D67" s="75"/>
      <x:c r="E67" s="75"/>
      <x:c r="F67" s="75"/>
      <x:c r="G67" s="75"/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A68" s="75"/>
      <x:c r="B68" s="75"/>
      <x:c r="C68" s="75"/>
      <x:c r="D68" s="75"/>
      <x:c r="E68" s="75"/>
      <x:c r="F68" s="75"/>
      <x:c r="G68" s="75"/>
      <x:c r="H68" s="75"/>
      <x:c r="I68" s="75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A69" s="75"/>
      <x:c r="B69" s="75"/>
      <x:c r="C69" s="75"/>
      <x:c r="D69" s="75"/>
      <x:c r="E69" s="75"/>
      <x:c r="F69" s="75"/>
      <x:c r="G69" s="75"/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A70" s="75"/>
      <x:c r="B70" s="75"/>
      <x:c r="C70" s="75"/>
      <x:c r="D70" s="75"/>
      <x:c r="E70" s="75"/>
      <x:c r="F70" s="75"/>
      <x:c r="G70" s="75"/>
      <x:c r="H70" s="75"/>
      <x:c r="I70" s="75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A71" s="75"/>
      <x:c r="B71" s="75"/>
      <x:c r="C71" s="75"/>
      <x:c r="D71" s="75"/>
      <x:c r="E71" s="75"/>
      <x:c r="F71" s="75"/>
      <x:c r="G71" s="75"/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A72" s="75"/>
      <x:c r="B72" s="75"/>
      <x:c r="C72" s="75"/>
      <x:c r="D72" s="75"/>
      <x:c r="E72" s="75"/>
      <x:c r="F72" s="75"/>
      <x:c r="G72" s="75"/>
      <x:c r="H72" s="75"/>
      <x:c r="I72" s="75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A73" s="75"/>
      <x:c r="B73" s="75"/>
      <x:c r="C73" s="75"/>
      <x:c r="D73" s="75"/>
      <x:c r="E73" s="75"/>
      <x:c r="F73" s="75"/>
      <x:c r="G73" s="75"/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A74" s="75"/>
      <x:c r="B74" s="75"/>
      <x:c r="C74" s="75"/>
      <x:c r="D74" s="75"/>
      <x:c r="E74" s="75"/>
      <x:c r="F74" s="75"/>
      <x:c r="G74" s="75"/>
      <x:c r="H74" s="75"/>
      <x:c r="I74" s="75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A75" s="75"/>
      <x:c r="B75" s="75"/>
      <x:c r="C75" s="75"/>
      <x:c r="D75" s="75"/>
      <x:c r="E75" s="75"/>
      <x:c r="F75" s="75"/>
      <x:c r="G75" s="75"/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A76" s="75"/>
      <x:c r="B76" s="75"/>
      <x:c r="C76" s="75"/>
      <x:c r="D76" s="75"/>
      <x:c r="E76" s="75"/>
      <x:c r="F76" s="75"/>
      <x:c r="G76" s="75"/>
      <x:c r="H76" s="75"/>
      <x:c r="I76" s="75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A77" s="75"/>
      <x:c r="B77" s="75"/>
      <x:c r="C77" s="75"/>
      <x:c r="D77" s="75"/>
      <x:c r="E77" s="75"/>
      <x:c r="F77" s="75"/>
      <x:c r="G77" s="75"/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A78" s="75"/>
      <x:c r="B78" s="75"/>
      <x:c r="C78" s="75"/>
      <x:c r="D78" s="75"/>
      <x:c r="E78" s="75"/>
      <x:c r="F78" s="75"/>
      <x:c r="G78" s="75"/>
      <x:c r="H78" s="75"/>
      <x:c r="I78" s="75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A79" s="75"/>
      <x:c r="B79" s="75"/>
      <x:c r="C79" s="75"/>
      <x:c r="D79" s="75"/>
      <x:c r="E79" s="75"/>
      <x:c r="F79" s="75"/>
      <x:c r="G79" s="75"/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A80" s="75"/>
      <x:c r="B80" s="75"/>
      <x:c r="C80" s="75"/>
      <x:c r="D80" s="75"/>
      <x:c r="E80" s="75"/>
      <x:c r="F80" s="75"/>
      <x:c r="G80" s="75"/>
      <x:c r="H80" s="75"/>
      <x:c r="I80" s="75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A81" s="75"/>
      <x:c r="B81" s="75"/>
      <x:c r="C81" s="75"/>
      <x:c r="D81" s="75"/>
      <x:c r="E81" s="75"/>
      <x:c r="F81" s="75"/>
      <x:c r="G81" s="75"/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A82" s="75"/>
      <x:c r="B82" s="75"/>
      <x:c r="C82" s="75"/>
      <x:c r="D82" s="75"/>
      <x:c r="E82" s="75"/>
      <x:c r="F82" s="75"/>
      <x:c r="G82" s="75"/>
      <x:c r="H82" s="75"/>
      <x:c r="I82" s="75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A83" s="75"/>
      <x:c r="B83" s="75"/>
      <x:c r="C83" s="75"/>
      <x:c r="D83" s="75"/>
      <x:c r="E83" s="75"/>
      <x:c r="F83" s="75"/>
      <x:c r="G83" s="75"/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A84" s="75"/>
      <x:c r="B84" s="75"/>
      <x:c r="C84" s="75"/>
      <x:c r="D84" s="75"/>
      <x:c r="E84" s="75"/>
      <x:c r="F84" s="75"/>
      <x:c r="G84" s="75"/>
      <x:c r="H84" s="75"/>
      <x:c r="I84" s="75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A85" s="75"/>
      <x:c r="B85" s="75"/>
      <x:c r="C85" s="75"/>
      <x:c r="D85" s="75"/>
      <x:c r="E85" s="75"/>
      <x:c r="F85" s="75"/>
      <x:c r="G85" s="75"/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A86" s="75"/>
      <x:c r="B86" s="75"/>
      <x:c r="C86" s="75"/>
      <x:c r="D86" s="75"/>
      <x:c r="E86" s="75"/>
      <x:c r="F86" s="75"/>
      <x:c r="G86" s="75"/>
      <x:c r="H86" s="75"/>
      <x:c r="I86" s="75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A87" s="75"/>
      <x:c r="B87" s="75"/>
      <x:c r="C87" s="75"/>
      <x:c r="D87" s="75"/>
      <x:c r="E87" s="75"/>
      <x:c r="F87" s="75"/>
      <x:c r="G87" s="75"/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A88" s="75"/>
      <x:c r="B88" s="75"/>
      <x:c r="C88" s="75"/>
      <x:c r="D88" s="75"/>
      <x:c r="E88" s="75"/>
      <x:c r="F88" s="75"/>
      <x:c r="G88" s="75"/>
      <x:c r="H88" s="75"/>
      <x:c r="I88" s="75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A89" s="75"/>
      <x:c r="B89" s="75"/>
      <x:c r="C89" s="75"/>
      <x:c r="D89" s="75"/>
      <x:c r="E89" s="75"/>
      <x:c r="F89" s="75"/>
      <x:c r="G89" s="75"/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A90" s="75"/>
      <x:c r="B90" s="75"/>
      <x:c r="C90" s="75"/>
      <x:c r="D90" s="75"/>
      <x:c r="E90" s="75"/>
      <x:c r="F90" s="75"/>
      <x:c r="G90" s="75"/>
      <x:c r="H90" s="75"/>
      <x:c r="I90" s="75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A91" s="75"/>
      <x:c r="B91" s="75"/>
      <x:c r="C91" s="75"/>
      <x:c r="D91" s="75"/>
      <x:c r="E91" s="75"/>
      <x:c r="F91" s="75"/>
      <x:c r="G91" s="75"/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A92" s="75"/>
      <x:c r="B92" s="75"/>
      <x:c r="C92" s="75"/>
      <x:c r="D92" s="75"/>
      <x:c r="E92" s="75"/>
      <x:c r="F92" s="75"/>
      <x:c r="G92" s="75"/>
      <x:c r="H92" s="75"/>
      <x:c r="I92" s="75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A93" s="75"/>
      <x:c r="B93" s="75"/>
      <x:c r="C93" s="75"/>
      <x:c r="D93" s="75"/>
      <x:c r="E93" s="75"/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A94" s="75"/>
      <x:c r="B94" s="75"/>
      <x:c r="C94" s="75"/>
      <x:c r="D94" s="75"/>
      <x:c r="E94" s="75"/>
      <x:c r="F94" s="75"/>
      <x:c r="G94" s="75"/>
      <x:c r="H94" s="75"/>
      <x:c r="I94" s="75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A95" s="75"/>
      <x:c r="B95" s="75"/>
      <x:c r="C95" s="75"/>
      <x:c r="D95" s="75"/>
      <x:c r="E95" s="75"/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A96" s="75"/>
      <x:c r="B96" s="75"/>
      <x:c r="C96" s="75"/>
      <x:c r="D96" s="75"/>
      <x:c r="E96" s="75"/>
      <x:c r="F96" s="75"/>
      <x:c r="G96" s="75"/>
      <x:c r="H96" s="75"/>
      <x:c r="I96" s="75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A97" s="75"/>
      <x:c r="B97" s="75"/>
      <x:c r="C97" s="75"/>
      <x:c r="D97" s="75"/>
      <x:c r="E97" s="75"/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A98" s="75"/>
      <x:c r="B98" s="75"/>
      <x:c r="C98" s="75"/>
      <x:c r="D98" s="75"/>
      <x:c r="E98" s="75"/>
      <x:c r="F98" s="75"/>
      <x:c r="G98" s="75"/>
      <x:c r="H98" s="75"/>
      <x:c r="I98" s="75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A99" s="75"/>
      <x:c r="B99" s="75"/>
      <x:c r="C99" s="75"/>
      <x:c r="D99" s="75"/>
      <x:c r="E99" s="75"/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A100" s="75"/>
      <x:c r="B100" s="75"/>
      <x:c r="C100" s="75"/>
      <x:c r="D100" s="75"/>
      <x:c r="E100" s="75"/>
      <x:c r="F100" s="75"/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A101" s="75"/>
      <x:c r="B101" s="75"/>
      <x:c r="C101" s="75"/>
      <x:c r="D101" s="75"/>
      <x:c r="E101" s="75"/>
      <x:c r="F101" s="75"/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A102" s="75"/>
      <x:c r="B102" s="75"/>
      <x:c r="C102" s="75"/>
      <x:c r="D102" s="75"/>
      <x:c r="E102" s="75"/>
      <x:c r="F102" s="75"/>
      <x:c r="G102" s="75"/>
      <x:c r="H102" s="75"/>
      <x:c r="I102" s="75"/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A103" s="75"/>
      <x:c r="B103" s="75"/>
      <x:c r="C103" s="75"/>
      <x:c r="D103" s="75"/>
      <x:c r="E103" s="75"/>
      <x:c r="F103" s="75"/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A104" s="75"/>
      <x:c r="B104" s="75"/>
      <x:c r="C104" s="75"/>
      <x:c r="D104" s="75"/>
      <x:c r="E104" s="75"/>
      <x:c r="F104" s="75"/>
      <x:c r="G104" s="75"/>
      <x:c r="H104" s="75"/>
      <x:c r="I104" s="75"/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A105" s="75"/>
      <x:c r="B105" s="75"/>
      <x:c r="C105" s="75"/>
      <x:c r="D105" s="75"/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A106" s="75"/>
      <x:c r="B106" s="75"/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A107" s="75"/>
      <x:c r="B107" s="75"/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A108" s="75"/>
      <x:c r="B108" s="75"/>
      <x:c r="C108" s="75"/>
      <x:c r="D108" s="75"/>
      <x:c r="E108" s="75"/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A109" s="75"/>
      <x:c r="B109" s="75"/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A110" s="75"/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A111" s="75"/>
      <x:c r="B111" s="75"/>
      <x:c r="C111" s="75"/>
      <x:c r="D111" s="75"/>
      <x:c r="E111" s="75"/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A112" s="75"/>
      <x:c r="B112" s="75"/>
      <x:c r="C112" s="75"/>
      <x:c r="D112" s="75"/>
      <x:c r="E112" s="75"/>
      <x:c r="F112" s="75"/>
      <x:c r="G112" s="75"/>
      <x:c r="H112" s="75"/>
      <x:c r="I112" s="75"/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A113" s="75"/>
      <x:c r="B113" s="75"/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A114" s="75"/>
      <x:c r="B114" s="75"/>
      <x:c r="C114" s="75"/>
      <x:c r="D114" s="75"/>
      <x:c r="E114" s="75"/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A115" s="75"/>
      <x:c r="B115" s="75"/>
      <x:c r="C115" s="75"/>
      <x:c r="D115" s="75"/>
      <x:c r="E115" s="75"/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A116" s="75"/>
      <x:c r="B116" s="75"/>
      <x:c r="C116" s="75"/>
      <x:c r="D116" s="75"/>
      <x:c r="E116" s="75"/>
      <x:c r="F116" s="75"/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A117" s="75"/>
      <x:c r="B117" s="75"/>
      <x:c r="C117" s="75"/>
      <x:c r="D117" s="75"/>
      <x:c r="E117" s="75"/>
      <x:c r="F117" s="75"/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A118" s="75"/>
      <x:c r="B118" s="75"/>
      <x:c r="C118" s="75"/>
      <x:c r="D118" s="75"/>
      <x:c r="E118" s="75"/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A119" s="75"/>
      <x:c r="B119" s="75"/>
      <x:c r="C119" s="75"/>
      <x:c r="D119" s="75"/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A120" s="75"/>
      <x:c r="B120" s="75"/>
      <x:c r="C120" s="75"/>
      <x:c r="D120" s="75"/>
      <x:c r="E120" s="75"/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A121" s="75"/>
      <x:c r="B121" s="75"/>
      <x:c r="C121" s="75"/>
      <x:c r="D121" s="75"/>
      <x:c r="E121" s="75"/>
      <x:c r="F121" s="75"/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A122" s="75"/>
      <x:c r="B122" s="75"/>
      <x:c r="C122" s="75"/>
      <x:c r="D122" s="75"/>
      <x:c r="E122" s="75"/>
      <x:c r="F122" s="75"/>
      <x:c r="G122" s="75"/>
      <x:c r="H122" s="75"/>
      <x:c r="I122" s="75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A123" s="75"/>
      <x:c r="B123" s="75"/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A124" s="75"/>
      <x:c r="B124" s="75"/>
      <x:c r="C124" s="75"/>
      <x:c r="D124" s="75"/>
      <x:c r="E124" s="75"/>
      <x:c r="F124" s="75"/>
      <x:c r="G124" s="75"/>
      <x:c r="H124" s="75"/>
      <x:c r="I124" s="75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A125" s="75"/>
      <x:c r="B125" s="75"/>
      <x:c r="C125" s="75"/>
      <x:c r="D125" s="75"/>
      <x:c r="E125" s="75"/>
      <x:c r="F125" s="75"/>
      <x:c r="G125" s="75"/>
      <x:c r="H125" s="75"/>
      <x:c r="I125" s="75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A126" s="75"/>
      <x:c r="B126" s="75"/>
      <x:c r="C126" s="75"/>
      <x:c r="D126" s="75"/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A127" s="75"/>
      <x:c r="B127" s="75"/>
      <x:c r="C127" s="75"/>
      <x:c r="D127" s="75"/>
      <x:c r="E127" s="75"/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A128" s="75"/>
      <x:c r="B128" s="75"/>
      <x:c r="C128" s="75"/>
      <x:c r="D128" s="75"/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A129" s="75"/>
      <x:c r="B129" s="75"/>
      <x:c r="C129" s="75"/>
      <x:c r="D129" s="75"/>
      <x:c r="E129" s="75"/>
      <x:c r="F129" s="75"/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A130" s="75"/>
      <x:c r="B130" s="75"/>
      <x:c r="C130" s="75"/>
      <x:c r="D130" s="75"/>
      <x:c r="E130" s="75"/>
      <x:c r="F130" s="75"/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A131" s="75"/>
      <x:c r="B131" s="75"/>
      <x:c r="C131" s="75"/>
      <x:c r="D131" s="75"/>
      <x:c r="E131" s="75"/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A132" s="75"/>
      <x:c r="B132" s="75"/>
      <x:c r="C132" s="75"/>
      <x:c r="D132" s="75"/>
      <x:c r="E132" s="75"/>
      <x:c r="F132" s="75"/>
      <x:c r="G132" s="75"/>
      <x:c r="H132" s="75"/>
      <x:c r="I132" s="75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A133" s="75"/>
      <x:c r="B133" s="75"/>
      <x:c r="C133" s="75"/>
      <x:c r="D133" s="75"/>
      <x:c r="E133" s="75"/>
      <x:c r="F133" s="75"/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A134" s="75"/>
      <x:c r="B134" s="75"/>
      <x:c r="C134" s="75"/>
      <x:c r="D134" s="75"/>
      <x:c r="E134" s="75"/>
      <x:c r="F134" s="75"/>
      <x:c r="G134" s="75"/>
      <x:c r="H134" s="75"/>
      <x:c r="I134" s="75"/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A135" s="75"/>
      <x:c r="B135" s="75"/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A136" s="75"/>
      <x:c r="B136" s="75"/>
      <x:c r="C136" s="75"/>
      <x:c r="D136" s="75"/>
      <x:c r="E136" s="75"/>
      <x:c r="F136" s="75"/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A137" s="75"/>
      <x:c r="B137" s="75"/>
      <x:c r="C137" s="75"/>
      <x:c r="D137" s="75"/>
      <x:c r="E137" s="75"/>
      <x:c r="F137" s="75"/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A138" s="75"/>
      <x:c r="B138" s="75"/>
      <x:c r="C138" s="75"/>
      <x:c r="D138" s="75"/>
      <x:c r="E138" s="75"/>
      <x:c r="F138" s="75"/>
      <x:c r="G138" s="75"/>
      <x:c r="H138" s="75"/>
      <x:c r="I138" s="75"/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A139" s="75"/>
      <x:c r="B139" s="75"/>
      <x:c r="C139" s="75"/>
      <x:c r="D139" s="75"/>
      <x:c r="E139" s="75"/>
      <x:c r="F139" s="75"/>
      <x:c r="G139" s="75"/>
      <x:c r="H139" s="75"/>
      <x:c r="I139" s="75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A140" s="75"/>
      <x:c r="B140" s="75"/>
      <x:c r="C140" s="75"/>
      <x:c r="D140" s="75"/>
      <x:c r="E140" s="75"/>
      <x:c r="F140" s="75"/>
      <x:c r="G140" s="75"/>
      <x:c r="H140" s="75"/>
      <x:c r="I140" s="75"/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A141" s="75"/>
      <x:c r="B141" s="75"/>
      <x:c r="C141" s="75"/>
      <x:c r="D141" s="75"/>
      <x:c r="E141" s="75"/>
      <x:c r="F141" s="75"/>
      <x:c r="G141" s="75"/>
      <x:c r="H141" s="75"/>
      <x:c r="I141" s="75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A142" s="75"/>
      <x:c r="B142" s="75"/>
      <x:c r="C142" s="75"/>
      <x:c r="D142" s="75"/>
      <x:c r="E142" s="75"/>
      <x:c r="F142" s="75"/>
      <x:c r="G142" s="75"/>
      <x:c r="H142" s="75"/>
      <x:c r="I142" s="75"/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A143" s="75"/>
      <x:c r="B143" s="75"/>
      <x:c r="C143" s="75"/>
      <x:c r="D143" s="75"/>
      <x:c r="E143" s="75"/>
      <x:c r="F143" s="75"/>
      <x:c r="G143" s="75"/>
      <x:c r="H143" s="75"/>
      <x:c r="I143" s="75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A144" s="75"/>
      <x:c r="B144" s="75"/>
      <x:c r="C144" s="75"/>
      <x:c r="D144" s="75"/>
      <x:c r="E144" s="75"/>
      <x:c r="F144" s="75"/>
      <x:c r="G144" s="75"/>
      <x:c r="H144" s="75"/>
      <x:c r="I144" s="75"/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A145" s="75"/>
      <x:c r="B145" s="75"/>
      <x:c r="C145" s="75"/>
      <x:c r="D145" s="75"/>
      <x:c r="E145" s="75"/>
      <x:c r="F145" s="75"/>
      <x:c r="G145" s="75"/>
      <x:c r="H145" s="75"/>
      <x:c r="I145" s="75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A146" s="75"/>
      <x:c r="B146" s="75"/>
      <x:c r="C146" s="75"/>
      <x:c r="D146" s="75"/>
      <x:c r="E146" s="75"/>
      <x:c r="F146" s="75"/>
      <x:c r="G146" s="75"/>
      <x:c r="H146" s="75"/>
      <x:c r="I146" s="75"/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A147" s="75"/>
      <x:c r="B147" s="75"/>
      <x:c r="C147" s="75"/>
      <x:c r="D147" s="75"/>
      <x:c r="E147" s="75"/>
      <x:c r="F147" s="75"/>
      <x:c r="G147" s="75"/>
      <x:c r="H147" s="75"/>
      <x:c r="I147" s="75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A148" s="75"/>
      <x:c r="B148" s="75"/>
      <x:c r="C148" s="75"/>
      <x:c r="D148" s="75"/>
      <x:c r="E148" s="75"/>
      <x:c r="F148" s="75"/>
      <x:c r="G148" s="75"/>
      <x:c r="H148" s="75"/>
      <x:c r="I148" s="75"/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A149" s="75"/>
      <x:c r="B149" s="75"/>
      <x:c r="C149" s="75"/>
      <x:c r="D149" s="75"/>
      <x:c r="E149" s="75"/>
      <x:c r="F149" s="75"/>
      <x:c r="G149" s="75"/>
      <x:c r="H149" s="75"/>
      <x:c r="I149" s="75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A150" s="75"/>
      <x:c r="B150" s="75"/>
      <x:c r="C150" s="75"/>
      <x:c r="D150" s="75"/>
      <x:c r="E150" s="75"/>
      <x:c r="F150" s="75"/>
      <x:c r="G150" s="75"/>
      <x:c r="H150" s="75"/>
      <x:c r="I150" s="75"/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A151" s="75"/>
      <x:c r="B151" s="75"/>
      <x:c r="C151" s="75"/>
      <x:c r="D151" s="75"/>
      <x:c r="E151" s="75"/>
      <x:c r="F151" s="75"/>
      <x:c r="G151" s="75"/>
      <x:c r="H151" s="75"/>
      <x:c r="I151" s="75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A152" s="75"/>
      <x:c r="B152" s="75"/>
      <x:c r="C152" s="75"/>
      <x:c r="D152" s="75"/>
      <x:c r="E152" s="75"/>
      <x:c r="F152" s="75"/>
      <x:c r="G152" s="75"/>
      <x:c r="H152" s="75"/>
      <x:c r="I152" s="75"/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A153" s="75"/>
      <x:c r="B153" s="75"/>
      <x:c r="C153" s="75"/>
      <x:c r="D153" s="75"/>
      <x:c r="E153" s="75"/>
      <x:c r="F153" s="75"/>
      <x:c r="G153" s="75"/>
      <x:c r="H153" s="75"/>
      <x:c r="I153" s="75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A154" s="75"/>
      <x:c r="B154" s="75"/>
      <x:c r="C154" s="75"/>
      <x:c r="D154" s="75"/>
      <x:c r="E154" s="75"/>
      <x:c r="F154" s="75"/>
      <x:c r="G154" s="75"/>
      <x:c r="H154" s="75"/>
      <x:c r="I154" s="75"/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A155" s="75"/>
      <x:c r="B155" s="75"/>
      <x:c r="C155" s="75"/>
      <x:c r="D155" s="75"/>
      <x:c r="E155" s="75"/>
      <x:c r="F155" s="75"/>
      <x:c r="G155" s="75"/>
      <x:c r="H155" s="75"/>
      <x:c r="I155" s="75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  <x:row r="156">
      <x:c r="A156" s="75"/>
      <x:c r="B156" s="75"/>
      <x:c r="C156" s="75"/>
      <x:c r="D156" s="75"/>
      <x:c r="E156" s="75"/>
      <x:c r="F156" s="75"/>
      <x:c r="G156" s="75"/>
      <x:c r="H156" s="75"/>
      <x:c r="I156" s="75"/>
      <x:c r="J156" s="75"/>
      <x:c r="K156" s="75"/>
      <x:c r="L156" s="75"/>
      <x:c r="M156" s="75"/>
      <x:c r="N156" s="75"/>
      <x:c r="O156" s="75"/>
      <x:c r="P156" s="75"/>
      <x:c r="Q156" s="75"/>
      <x:c r="R156" s="75"/>
      <x:c r="S156" s="75"/>
      <x:c r="T156" s="75"/>
      <x:c r="U156" s="75"/>
      <x:c r="V156" s="75"/>
      <x:c r="W156" s="75"/>
      <x:c r="X156" s="75"/>
      <x:c r="Y156" s="75"/>
      <x:c r="Z156" s="75"/>
    </x:row>
    <x:row r="157">
      <x:c r="A157" s="75"/>
      <x:c r="B157" s="75"/>
      <x:c r="C157" s="75"/>
      <x:c r="D157" s="75"/>
      <x:c r="E157" s="75"/>
      <x:c r="F157" s="75"/>
      <x:c r="G157" s="75"/>
      <x:c r="H157" s="75"/>
      <x:c r="I157" s="75"/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</x:row>
    <x:row r="158">
      <x:c r="A158" s="75"/>
      <x:c r="B158" s="75"/>
      <x:c r="C158" s="75"/>
      <x:c r="D158" s="75"/>
      <x:c r="E158" s="75"/>
      <x:c r="F158" s="75"/>
      <x:c r="G158" s="75"/>
      <x:c r="H158" s="75"/>
      <x:c r="I158" s="75"/>
      <x:c r="J158" s="75"/>
      <x:c r="K158" s="75"/>
      <x:c r="L158" s="75"/>
      <x:c r="M158" s="75"/>
      <x:c r="N158" s="75"/>
      <x:c r="O158" s="75"/>
      <x:c r="P158" s="75"/>
      <x:c r="Q158" s="75"/>
      <x:c r="R158" s="75"/>
      <x:c r="S158" s="75"/>
      <x:c r="T158" s="75"/>
      <x:c r="U158" s="75"/>
      <x:c r="V158" s="75"/>
      <x:c r="W158" s="75"/>
      <x:c r="X158" s="75"/>
      <x:c r="Y158" s="75"/>
      <x:c r="Z158" s="75"/>
    </x:row>
    <x:row r="159">
      <x:c r="A159" s="75"/>
      <x:c r="B159" s="75"/>
      <x:c r="C159" s="75"/>
      <x:c r="D159" s="75"/>
      <x:c r="E159" s="75"/>
      <x:c r="F159" s="75"/>
      <x:c r="G159" s="75"/>
      <x:c r="H159" s="75"/>
      <x:c r="I159" s="75"/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</x:row>
    <x:row r="160">
      <x:c r="A160" s="75"/>
      <x:c r="B160" s="75"/>
      <x:c r="C160" s="75"/>
      <x:c r="D160" s="75"/>
      <x:c r="E160" s="75"/>
      <x:c r="F160" s="75"/>
      <x:c r="G160" s="75"/>
      <x:c r="H160" s="75"/>
      <x:c r="I160" s="75"/>
      <x:c r="J160" s="75"/>
      <x:c r="K160" s="75"/>
      <x:c r="L160" s="75"/>
      <x:c r="M160" s="75"/>
      <x:c r="N160" s="75"/>
      <x:c r="O160" s="75"/>
      <x:c r="P160" s="75"/>
      <x:c r="Q160" s="75"/>
      <x:c r="R160" s="75"/>
      <x:c r="S160" s="75"/>
      <x:c r="T160" s="75"/>
      <x:c r="U160" s="75"/>
      <x:c r="V160" s="75"/>
      <x:c r="W160" s="75"/>
      <x:c r="X160" s="75"/>
      <x:c r="Y160" s="75"/>
      <x:c r="Z160" s="75"/>
    </x:row>
    <x:row r="161">
      <x:c r="A161" s="75"/>
      <x:c r="B161" s="75"/>
      <x:c r="C161" s="75"/>
      <x:c r="D161" s="75"/>
      <x:c r="E161" s="75"/>
      <x:c r="F161" s="75"/>
      <x:c r="G161" s="75"/>
      <x:c r="H161" s="75"/>
      <x:c r="I161" s="75"/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</x:row>
    <x:row r="162">
      <x:c r="A162" s="75"/>
      <x:c r="B162" s="75"/>
      <x:c r="C162" s="75"/>
      <x:c r="D162" s="75"/>
      <x:c r="E162" s="75"/>
      <x:c r="F162" s="75"/>
      <x:c r="G162" s="75"/>
      <x:c r="H162" s="75"/>
      <x:c r="I162" s="75"/>
      <x:c r="J162" s="75"/>
      <x:c r="K162" s="75"/>
      <x:c r="L162" s="75"/>
      <x:c r="M162" s="75"/>
      <x:c r="N162" s="75"/>
      <x:c r="O162" s="75"/>
      <x:c r="P162" s="75"/>
      <x:c r="Q162" s="75"/>
      <x:c r="R162" s="75"/>
      <x:c r="S162" s="75"/>
      <x:c r="T162" s="75"/>
      <x:c r="U162" s="75"/>
      <x:c r="V162" s="75"/>
      <x:c r="W162" s="75"/>
      <x:c r="X162" s="75"/>
      <x:c r="Y162" s="75"/>
      <x:c r="Z162" s="75"/>
    </x:row>
    <x:row r="163">
      <x:c r="A163" s="75"/>
      <x:c r="B163" s="75"/>
      <x:c r="C163" s="75"/>
      <x:c r="D163" s="75"/>
      <x:c r="E163" s="75"/>
      <x:c r="F163" s="75"/>
      <x:c r="G163" s="75"/>
      <x:c r="H163" s="75"/>
      <x:c r="I163" s="75"/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</x:row>
    <x:row r="164">
      <x:c r="A164" s="75"/>
      <x:c r="B164" s="75"/>
      <x:c r="C164" s="75"/>
      <x:c r="D164" s="75"/>
      <x:c r="E164" s="75"/>
      <x:c r="F164" s="75"/>
      <x:c r="G164" s="75"/>
      <x:c r="H164" s="75"/>
      <x:c r="I164" s="75"/>
      <x:c r="J164" s="75"/>
      <x:c r="K164" s="75"/>
      <x:c r="L164" s="75"/>
      <x:c r="M164" s="75"/>
      <x:c r="N164" s="75"/>
      <x:c r="O164" s="75"/>
      <x:c r="P164" s="75"/>
      <x:c r="Q164" s="75"/>
      <x:c r="R164" s="75"/>
      <x:c r="S164" s="75"/>
      <x:c r="T164" s="75"/>
      <x:c r="U164" s="75"/>
      <x:c r="V164" s="75"/>
      <x:c r="W164" s="75"/>
      <x:c r="X164" s="75"/>
      <x:c r="Y164" s="75"/>
      <x:c r="Z164" s="75"/>
    </x:row>
    <x:row r="165">
      <x:c r="A165" s="75"/>
      <x:c r="B165" s="75"/>
      <x:c r="C165" s="75"/>
      <x:c r="D165" s="75"/>
      <x:c r="E165" s="75"/>
      <x:c r="F165" s="75"/>
      <x:c r="G165" s="75"/>
      <x:c r="H165" s="75"/>
      <x:c r="I165" s="75"/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</x:row>
    <x:row r="166">
      <x:c r="A166" s="75"/>
      <x:c r="B166" s="75"/>
      <x:c r="C166" s="75"/>
      <x:c r="D166" s="75"/>
      <x:c r="E166" s="75"/>
      <x:c r="F166" s="75"/>
      <x:c r="G166" s="75"/>
      <x:c r="H166" s="75"/>
      <x:c r="I166" s="75"/>
      <x:c r="J166" s="75"/>
      <x:c r="K166" s="75"/>
      <x:c r="L166" s="75"/>
      <x:c r="M166" s="75"/>
      <x:c r="N166" s="75"/>
      <x:c r="O166" s="75"/>
      <x:c r="P166" s="75"/>
      <x:c r="Q166" s="75"/>
      <x:c r="R166" s="75"/>
      <x:c r="S166" s="75"/>
      <x:c r="T166" s="75"/>
      <x:c r="U166" s="75"/>
      <x:c r="V166" s="75"/>
      <x:c r="W166" s="75"/>
      <x:c r="X166" s="75"/>
      <x:c r="Y166" s="75"/>
      <x:c r="Z166" s="75"/>
    </x:row>
    <x:row r="167">
      <x:c r="A167" s="75"/>
      <x:c r="B167" s="75"/>
      <x:c r="C167" s="75"/>
      <x:c r="D167" s="75"/>
      <x:c r="E167" s="75"/>
      <x:c r="F167" s="75"/>
      <x:c r="G167" s="75"/>
      <x:c r="H167" s="75"/>
      <x:c r="I167" s="75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</x:row>
    <x:row r="168">
      <x:c r="A168" s="75"/>
      <x:c r="B168" s="75"/>
      <x:c r="C168" s="75"/>
      <x:c r="D168" s="75"/>
      <x:c r="E168" s="75"/>
      <x:c r="F168" s="75"/>
      <x:c r="G168" s="75"/>
      <x:c r="H168" s="75"/>
      <x:c r="I168" s="75"/>
      <x:c r="J168" s="75"/>
      <x:c r="K168" s="75"/>
      <x:c r="L168" s="75"/>
      <x:c r="M168" s="75"/>
      <x:c r="N168" s="75"/>
      <x:c r="O168" s="75"/>
      <x:c r="P168" s="75"/>
      <x:c r="Q168" s="75"/>
      <x:c r="R168" s="75"/>
      <x:c r="S168" s="75"/>
      <x:c r="T168" s="75"/>
      <x:c r="U168" s="75"/>
      <x:c r="V168" s="75"/>
      <x:c r="W168" s="75"/>
      <x:c r="X168" s="75"/>
      <x:c r="Y168" s="75"/>
      <x:c r="Z168" s="75"/>
    </x:row>
    <x:row r="169">
      <x:c r="A169" s="75"/>
      <x:c r="B169" s="75"/>
      <x:c r="C169" s="75"/>
      <x:c r="D169" s="75"/>
      <x:c r="E169" s="75"/>
      <x:c r="F169" s="75"/>
      <x:c r="G169" s="75"/>
      <x:c r="H169" s="75"/>
      <x:c r="I169" s="75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</x:row>
    <x:row r="170">
      <x:c r="A170" s="75"/>
      <x:c r="B170" s="75"/>
      <x:c r="C170" s="75"/>
      <x:c r="D170" s="75"/>
      <x:c r="E170" s="75"/>
      <x:c r="F170" s="75"/>
      <x:c r="G170" s="75"/>
      <x:c r="H170" s="75"/>
      <x:c r="I170" s="75"/>
      <x:c r="J170" s="75"/>
      <x:c r="K170" s="75"/>
      <x:c r="L170" s="75"/>
      <x:c r="M170" s="75"/>
      <x:c r="N170" s="75"/>
      <x:c r="O170" s="75"/>
      <x:c r="P170" s="75"/>
      <x:c r="Q170" s="75"/>
      <x:c r="R170" s="75"/>
      <x:c r="S170" s="75"/>
      <x:c r="T170" s="75"/>
      <x:c r="U170" s="75"/>
      <x:c r="V170" s="75"/>
      <x:c r="W170" s="75"/>
      <x:c r="X170" s="75"/>
      <x:c r="Y170" s="75"/>
      <x:c r="Z170" s="75"/>
    </x:row>
    <x:row r="171">
      <x:c r="A171" s="75"/>
      <x:c r="B171" s="75"/>
      <x:c r="C171" s="75"/>
      <x:c r="D171" s="75"/>
      <x:c r="E171" s="75"/>
      <x:c r="F171" s="75"/>
      <x:c r="G171" s="75"/>
      <x:c r="H171" s="75"/>
      <x:c r="I171" s="75"/>
      <x:c r="J171" s="75"/>
      <x:c r="K171" s="75"/>
      <x:c r="L171" s="75"/>
      <x:c r="M171" s="75"/>
      <x:c r="N171" s="75"/>
      <x:c r="O171" s="75"/>
      <x:c r="P171" s="75"/>
      <x:c r="Q171" s="75"/>
      <x:c r="R171" s="75"/>
      <x:c r="S171" s="75"/>
      <x:c r="T171" s="75"/>
      <x:c r="U171" s="75"/>
      <x:c r="V171" s="75"/>
      <x:c r="W171" s="75"/>
      <x:c r="X171" s="75"/>
      <x:c r="Y171" s="75"/>
      <x:c r="Z171" s="75"/>
    </x:row>
    <x:row r="172">
      <x:c r="A172" s="75"/>
      <x:c r="B172" s="75"/>
      <x:c r="C172" s="75"/>
      <x:c r="D172" s="75"/>
      <x:c r="E172" s="75"/>
      <x:c r="F172" s="75"/>
      <x:c r="G172" s="75"/>
      <x:c r="H172" s="75"/>
      <x:c r="I172" s="75"/>
      <x:c r="J172" s="75"/>
      <x:c r="K172" s="75"/>
      <x:c r="L172" s="75"/>
      <x:c r="M172" s="75"/>
      <x:c r="N172" s="75"/>
      <x:c r="O172" s="75"/>
      <x:c r="P172" s="75"/>
      <x:c r="Q172" s="75"/>
      <x:c r="R172" s="75"/>
      <x:c r="S172" s="75"/>
      <x:c r="T172" s="75"/>
      <x:c r="U172" s="75"/>
      <x:c r="V172" s="75"/>
      <x:c r="W172" s="75"/>
      <x:c r="X172" s="75"/>
      <x:c r="Y172" s="75"/>
      <x:c r="Z172" s="75"/>
    </x:row>
    <x:row r="173">
      <x:c r="A173" s="75"/>
      <x:c r="B173" s="75"/>
      <x:c r="C173" s="75"/>
      <x:c r="D173" s="75"/>
      <x:c r="E173" s="75"/>
      <x:c r="F173" s="75"/>
      <x:c r="G173" s="75"/>
      <x:c r="H173" s="75"/>
      <x:c r="I173" s="75"/>
      <x:c r="J173" s="75"/>
      <x:c r="K173" s="75"/>
      <x:c r="L173" s="75"/>
      <x:c r="M173" s="75"/>
      <x:c r="N173" s="75"/>
      <x:c r="O173" s="75"/>
      <x:c r="P173" s="75"/>
      <x:c r="Q173" s="75"/>
      <x:c r="R173" s="75"/>
      <x:c r="S173" s="75"/>
      <x:c r="T173" s="75"/>
      <x:c r="U173" s="75"/>
      <x:c r="V173" s="75"/>
      <x:c r="W173" s="75"/>
      <x:c r="X173" s="75"/>
      <x:c r="Y173" s="75"/>
      <x:c r="Z173" s="75"/>
    </x:row>
    <x:row r="174">
      <x:c r="A174" s="75"/>
      <x:c r="B174" s="75"/>
      <x:c r="C174" s="75"/>
      <x:c r="D174" s="75"/>
      <x:c r="E174" s="75"/>
      <x:c r="F174" s="75"/>
      <x:c r="G174" s="75"/>
      <x:c r="H174" s="75"/>
      <x:c r="I174" s="75"/>
      <x:c r="J174" s="75"/>
      <x:c r="K174" s="75"/>
      <x:c r="L174" s="75"/>
      <x:c r="M174" s="75"/>
      <x:c r="N174" s="75"/>
      <x:c r="O174" s="75"/>
      <x:c r="P174" s="75"/>
      <x:c r="Q174" s="75"/>
      <x:c r="R174" s="75"/>
      <x:c r="S174" s="75"/>
      <x:c r="T174" s="75"/>
      <x:c r="U174" s="75"/>
      <x:c r="V174" s="75"/>
      <x:c r="W174" s="75"/>
      <x:c r="X174" s="75"/>
      <x:c r="Y174" s="75"/>
      <x:c r="Z174" s="75"/>
    </x:row>
    <x:row r="175">
      <x:c r="A175" s="75"/>
      <x:c r="B175" s="75"/>
      <x:c r="C175" s="75"/>
      <x:c r="D175" s="75"/>
      <x:c r="E175" s="75"/>
      <x:c r="F175" s="75"/>
      <x:c r="G175" s="75"/>
      <x:c r="H175" s="75"/>
      <x:c r="I175" s="75"/>
      <x:c r="J175" s="75"/>
      <x:c r="K175" s="75"/>
      <x:c r="L175" s="75"/>
      <x:c r="M175" s="75"/>
      <x:c r="N175" s="75"/>
      <x:c r="O175" s="75"/>
      <x:c r="P175" s="75"/>
      <x:c r="Q175" s="75"/>
      <x:c r="R175" s="75"/>
      <x:c r="S175" s="75"/>
      <x:c r="T175" s="75"/>
      <x:c r="U175" s="75"/>
      <x:c r="V175" s="75"/>
      <x:c r="W175" s="75"/>
      <x:c r="X175" s="75"/>
      <x:c r="Y175" s="75"/>
      <x:c r="Z175" s="75"/>
    </x:row>
    <x:row r="176">
      <x:c r="A176" s="75"/>
      <x:c r="B176" s="75"/>
      <x:c r="C176" s="75"/>
      <x:c r="D176" s="75"/>
      <x:c r="E176" s="75"/>
      <x:c r="F176" s="75"/>
      <x:c r="G176" s="75"/>
      <x:c r="H176" s="75"/>
      <x:c r="I176" s="75"/>
      <x:c r="J176" s="75"/>
      <x:c r="K176" s="75"/>
      <x:c r="L176" s="75"/>
      <x:c r="M176" s="75"/>
      <x:c r="N176" s="75"/>
      <x:c r="O176" s="75"/>
      <x:c r="P176" s="75"/>
      <x:c r="Q176" s="75"/>
      <x:c r="R176" s="75"/>
      <x:c r="S176" s="75"/>
      <x:c r="T176" s="75"/>
      <x:c r="U176" s="75"/>
      <x:c r="V176" s="75"/>
      <x:c r="W176" s="75"/>
      <x:c r="X176" s="75"/>
      <x:c r="Y176" s="75"/>
      <x:c r="Z176" s="75"/>
    </x:row>
    <x:row r="177">
      <x:c r="A177" s="75"/>
      <x:c r="B177" s="75"/>
      <x:c r="C177" s="75"/>
      <x:c r="D177" s="75"/>
      <x:c r="E177" s="75"/>
      <x:c r="F177" s="75"/>
      <x:c r="G177" s="75"/>
      <x:c r="H177" s="75"/>
      <x:c r="I177" s="75"/>
      <x:c r="J177" s="75"/>
      <x:c r="K177" s="75"/>
      <x:c r="L177" s="75"/>
      <x:c r="M177" s="75"/>
      <x:c r="N177" s="75"/>
      <x:c r="O177" s="75"/>
      <x:c r="P177" s="75"/>
      <x:c r="Q177" s="75"/>
      <x:c r="R177" s="75"/>
      <x:c r="S177" s="75"/>
      <x:c r="T177" s="75"/>
      <x:c r="U177" s="75"/>
      <x:c r="V177" s="75"/>
      <x:c r="W177" s="75"/>
      <x:c r="X177" s="75"/>
      <x:c r="Y177" s="75"/>
      <x:c r="Z177" s="75"/>
    </x:row>
    <x:row r="178">
      <x:c r="A178" s="75"/>
      <x:c r="B178" s="75"/>
      <x:c r="C178" s="75"/>
      <x:c r="D178" s="75"/>
      <x:c r="E178" s="75"/>
      <x:c r="F178" s="75"/>
      <x:c r="G178" s="75"/>
      <x:c r="H178" s="75"/>
      <x:c r="I178" s="75"/>
      <x:c r="J178" s="75"/>
      <x:c r="K178" s="75"/>
      <x:c r="L178" s="75"/>
      <x:c r="M178" s="75"/>
      <x:c r="N178" s="75"/>
      <x:c r="O178" s="75"/>
      <x:c r="P178" s="75"/>
      <x:c r="Q178" s="75"/>
      <x:c r="R178" s="75"/>
      <x:c r="S178" s="75"/>
      <x:c r="T178" s="75"/>
      <x:c r="U178" s="75"/>
      <x:c r="V178" s="75"/>
      <x:c r="W178" s="75"/>
      <x:c r="X178" s="75"/>
      <x:c r="Y178" s="75"/>
      <x:c r="Z178" s="75"/>
    </x:row>
    <x:row r="179">
      <x:c r="A179" s="75"/>
      <x:c r="B179" s="75"/>
      <x:c r="C179" s="75"/>
      <x:c r="D179" s="75"/>
      <x:c r="E179" s="75"/>
      <x:c r="F179" s="75"/>
      <x:c r="G179" s="75"/>
      <x:c r="H179" s="75"/>
      <x:c r="I179" s="75"/>
      <x:c r="J179" s="75"/>
      <x:c r="K179" s="75"/>
      <x:c r="L179" s="75"/>
      <x:c r="M179" s="75"/>
      <x:c r="N179" s="75"/>
      <x:c r="O179" s="75"/>
      <x:c r="P179" s="75"/>
      <x:c r="Q179" s="75"/>
      <x:c r="R179" s="75"/>
      <x:c r="S179" s="75"/>
      <x:c r="T179" s="75"/>
      <x:c r="U179" s="75"/>
      <x:c r="V179" s="75"/>
      <x:c r="W179" s="75"/>
      <x:c r="X179" s="75"/>
      <x:c r="Y179" s="75"/>
      <x:c r="Z179" s="75"/>
    </x:row>
    <x:row r="180">
      <x:c r="A180" s="75"/>
      <x:c r="B180" s="75"/>
      <x:c r="C180" s="75"/>
      <x:c r="D180" s="75"/>
      <x:c r="E180" s="75"/>
      <x:c r="F180" s="75"/>
      <x:c r="G180" s="75"/>
      <x:c r="H180" s="75"/>
      <x:c r="I180" s="75"/>
      <x:c r="J180" s="75"/>
      <x:c r="K180" s="75"/>
      <x:c r="L180" s="75"/>
      <x:c r="M180" s="75"/>
      <x:c r="N180" s="75"/>
      <x:c r="O180" s="75"/>
      <x:c r="P180" s="75"/>
      <x:c r="Q180" s="75"/>
      <x:c r="R180" s="75"/>
      <x:c r="S180" s="75"/>
      <x:c r="T180" s="75"/>
      <x:c r="U180" s="75"/>
      <x:c r="V180" s="75"/>
      <x:c r="W180" s="75"/>
      <x:c r="X180" s="75"/>
      <x:c r="Y180" s="75"/>
      <x:c r="Z180" s="75"/>
    </x:row>
    <x:row r="181">
      <x:c r="A181" s="75"/>
      <x:c r="B181" s="75"/>
      <x:c r="C181" s="75"/>
      <x:c r="D181" s="75"/>
      <x:c r="E181" s="75"/>
      <x:c r="F181" s="75"/>
      <x:c r="G181" s="75"/>
      <x:c r="H181" s="75"/>
      <x:c r="I181" s="75"/>
      <x:c r="J181" s="75"/>
      <x:c r="K181" s="75"/>
      <x:c r="L181" s="75"/>
      <x:c r="M181" s="75"/>
      <x:c r="N181" s="75"/>
      <x:c r="O181" s="75"/>
      <x:c r="P181" s="75"/>
      <x:c r="Q181" s="75"/>
      <x:c r="R181" s="75"/>
      <x:c r="S181" s="75"/>
      <x:c r="T181" s="75"/>
      <x:c r="U181" s="75"/>
      <x:c r="V181" s="75"/>
      <x:c r="W181" s="75"/>
      <x:c r="X181" s="75"/>
      <x:c r="Y181" s="75"/>
      <x:c r="Z181" s="75"/>
    </x:row>
    <x:row r="182">
      <x:c r="A182" s="75"/>
      <x:c r="B182" s="75"/>
      <x:c r="C182" s="75"/>
      <x:c r="D182" s="75"/>
      <x:c r="E182" s="75"/>
      <x:c r="F182" s="75"/>
      <x:c r="G182" s="75"/>
      <x:c r="H182" s="75"/>
      <x:c r="I182" s="75"/>
      <x:c r="J182" s="75"/>
      <x:c r="K182" s="75"/>
      <x:c r="L182" s="75"/>
      <x:c r="M182" s="75"/>
      <x:c r="N182" s="75"/>
      <x:c r="O182" s="75"/>
      <x:c r="P182" s="75"/>
      <x:c r="Q182" s="75"/>
      <x:c r="R182" s="75"/>
      <x:c r="S182" s="75"/>
      <x:c r="T182" s="75"/>
      <x:c r="U182" s="75"/>
      <x:c r="V182" s="75"/>
      <x:c r="W182" s="75"/>
      <x:c r="X182" s="75"/>
      <x:c r="Y182" s="75"/>
      <x:c r="Z182" s="75"/>
    </x:row>
    <x:row r="183">
      <x:c r="A183" s="75"/>
      <x:c r="B183" s="75"/>
      <x:c r="C183" s="75"/>
      <x:c r="D183" s="75"/>
      <x:c r="E183" s="75"/>
      <x:c r="F183" s="75"/>
      <x:c r="G183" s="75"/>
      <x:c r="H183" s="75"/>
      <x:c r="I183" s="75"/>
      <x:c r="J183" s="75"/>
      <x:c r="K183" s="75"/>
      <x:c r="L183" s="75"/>
      <x:c r="M183" s="75"/>
      <x:c r="N183" s="75"/>
      <x:c r="O183" s="75"/>
      <x:c r="P183" s="75"/>
      <x:c r="Q183" s="75"/>
      <x:c r="R183" s="75"/>
      <x:c r="S183" s="75"/>
      <x:c r="T183" s="75"/>
      <x:c r="U183" s="75"/>
      <x:c r="V183" s="75"/>
      <x:c r="W183" s="75"/>
      <x:c r="X183" s="75"/>
      <x:c r="Y183" s="75"/>
      <x:c r="Z183" s="75"/>
    </x:row>
    <x:row r="184">
      <x:c r="A184" s="75"/>
      <x:c r="B184" s="75"/>
      <x:c r="C184" s="75"/>
      <x:c r="D184" s="75"/>
      <x:c r="E184" s="75"/>
      <x:c r="F184" s="75"/>
      <x:c r="G184" s="75"/>
      <x:c r="H184" s="75"/>
      <x:c r="I184" s="75"/>
      <x:c r="J184" s="75"/>
      <x:c r="K184" s="75"/>
      <x:c r="L184" s="75"/>
      <x:c r="M184" s="75"/>
      <x:c r="N184" s="75"/>
      <x:c r="O184" s="75"/>
      <x:c r="P184" s="75"/>
      <x:c r="Q184" s="75"/>
      <x:c r="R184" s="75"/>
      <x:c r="S184" s="75"/>
      <x:c r="T184" s="75"/>
      <x:c r="U184" s="75"/>
      <x:c r="V184" s="75"/>
      <x:c r="W184" s="75"/>
      <x:c r="X184" s="75"/>
      <x:c r="Y184" s="75"/>
      <x:c r="Z184" s="75"/>
    </x:row>
    <x:row r="185">
      <x:c r="A185" s="75"/>
      <x:c r="B185" s="75"/>
      <x:c r="C185" s="75"/>
      <x:c r="D185" s="75"/>
      <x:c r="E185" s="75"/>
      <x:c r="F185" s="75"/>
      <x:c r="G185" s="75"/>
      <x:c r="H185" s="75"/>
      <x:c r="I185" s="75"/>
      <x:c r="J185" s="75"/>
      <x:c r="K185" s="75"/>
      <x:c r="L185" s="75"/>
      <x:c r="M185" s="75"/>
      <x:c r="N185" s="75"/>
      <x:c r="O185" s="75"/>
      <x:c r="P185" s="75"/>
      <x:c r="Q185" s="75"/>
      <x:c r="R185" s="75"/>
      <x:c r="S185" s="75"/>
      <x:c r="T185" s="75"/>
      <x:c r="U185" s="75"/>
      <x:c r="V185" s="75"/>
      <x:c r="W185" s="75"/>
      <x:c r="X185" s="75"/>
      <x:c r="Y185" s="75"/>
      <x:c r="Z185" s="75"/>
    </x:row>
    <x:row r="186">
      <x:c r="A186" s="75"/>
      <x:c r="B186" s="75"/>
      <x:c r="C186" s="75"/>
      <x:c r="D186" s="75"/>
      <x:c r="E186" s="75"/>
      <x:c r="F186" s="75"/>
      <x:c r="G186" s="75"/>
      <x:c r="H186" s="75"/>
      <x:c r="I186" s="75"/>
      <x:c r="J186" s="75"/>
      <x:c r="K186" s="75"/>
      <x:c r="L186" s="75"/>
      <x:c r="M186" s="75"/>
      <x:c r="N186" s="75"/>
      <x:c r="O186" s="75"/>
      <x:c r="P186" s="75"/>
      <x:c r="Q186" s="75"/>
      <x:c r="R186" s="75"/>
      <x:c r="S186" s="75"/>
      <x:c r="T186" s="75"/>
      <x:c r="U186" s="75"/>
      <x:c r="V186" s="75"/>
      <x:c r="W186" s="75"/>
      <x:c r="X186" s="75"/>
      <x:c r="Y186" s="75"/>
      <x:c r="Z186" s="75"/>
    </x:row>
    <x:row r="187">
      <x:c r="A187" s="75"/>
      <x:c r="B187" s="75"/>
      <x:c r="C187" s="75"/>
      <x:c r="D187" s="75"/>
      <x:c r="E187" s="75"/>
      <x:c r="F187" s="75"/>
      <x:c r="G187" s="75"/>
      <x:c r="H187" s="75"/>
      <x:c r="I187" s="75"/>
      <x:c r="J187" s="75"/>
      <x:c r="K187" s="75"/>
      <x:c r="L187" s="75"/>
      <x:c r="M187" s="75"/>
      <x:c r="N187" s="75"/>
      <x:c r="O187" s="75"/>
      <x:c r="P187" s="75"/>
      <x:c r="Q187" s="75"/>
      <x:c r="R187" s="75"/>
      <x:c r="S187" s="75"/>
      <x:c r="T187" s="75"/>
      <x:c r="U187" s="75"/>
      <x:c r="V187" s="75"/>
      <x:c r="W187" s="75"/>
      <x:c r="X187" s="75"/>
      <x:c r="Y187" s="75"/>
      <x:c r="Z187" s="75"/>
    </x:row>
    <x:row r="188">
      <x:c r="A188" s="75"/>
      <x:c r="B188" s="75"/>
      <x:c r="C188" s="75"/>
      <x:c r="D188" s="75"/>
      <x:c r="E188" s="75"/>
      <x:c r="F188" s="75"/>
      <x:c r="G188" s="75"/>
      <x:c r="H188" s="75"/>
      <x:c r="I188" s="75"/>
      <x:c r="J188" s="75"/>
      <x:c r="K188" s="75"/>
      <x:c r="L188" s="75"/>
      <x:c r="M188" s="75"/>
      <x:c r="N188" s="75"/>
      <x:c r="O188" s="75"/>
      <x:c r="P188" s="75"/>
      <x:c r="Q188" s="75"/>
      <x:c r="R188" s="75"/>
      <x:c r="S188" s="75"/>
      <x:c r="T188" s="75"/>
      <x:c r="U188" s="75"/>
      <x:c r="V188" s="75"/>
      <x:c r="W188" s="75"/>
      <x:c r="X188" s="75"/>
      <x:c r="Y188" s="75"/>
      <x:c r="Z188" s="75"/>
    </x:row>
    <x:row r="189">
      <x:c r="A189" s="75"/>
      <x:c r="B189" s="75"/>
      <x:c r="C189" s="75"/>
      <x:c r="D189" s="75"/>
      <x:c r="E189" s="75"/>
      <x:c r="F189" s="75"/>
      <x:c r="G189" s="75"/>
      <x:c r="H189" s="75"/>
      <x:c r="I189" s="75"/>
      <x:c r="J189" s="75"/>
      <x:c r="K189" s="75"/>
      <x:c r="L189" s="75"/>
      <x:c r="M189" s="75"/>
      <x:c r="N189" s="75"/>
      <x:c r="O189" s="75"/>
      <x:c r="P189" s="75"/>
      <x:c r="Q189" s="75"/>
      <x:c r="R189" s="75"/>
      <x:c r="S189" s="75"/>
      <x:c r="T189" s="75"/>
      <x:c r="U189" s="75"/>
      <x:c r="V189" s="75"/>
      <x:c r="W189" s="75"/>
      <x:c r="X189" s="75"/>
      <x:c r="Y189" s="75"/>
      <x:c r="Z189" s="75"/>
    </x:row>
    <x:row r="190">
      <x:c r="A190" s="75"/>
      <x:c r="B190" s="75"/>
      <x:c r="C190" s="75"/>
      <x:c r="D190" s="75"/>
      <x:c r="E190" s="75"/>
      <x:c r="F190" s="75"/>
      <x:c r="G190" s="75"/>
      <x:c r="H190" s="75"/>
      <x:c r="I190" s="75"/>
      <x:c r="J190" s="75"/>
      <x:c r="K190" s="75"/>
      <x:c r="L190" s="75"/>
      <x:c r="M190" s="75"/>
      <x:c r="N190" s="75"/>
      <x:c r="O190" s="75"/>
      <x:c r="P190" s="75"/>
      <x:c r="Q190" s="75"/>
      <x:c r="R190" s="75"/>
      <x:c r="S190" s="75"/>
      <x:c r="T190" s="75"/>
      <x:c r="U190" s="75"/>
      <x:c r="V190" s="75"/>
      <x:c r="W190" s="75"/>
      <x:c r="X190" s="75"/>
      <x:c r="Y190" s="75"/>
      <x:c r="Z190" s="75"/>
    </x:row>
    <x:row r="191">
      <x:c r="A191" s="75"/>
      <x:c r="B191" s="75"/>
      <x:c r="C191" s="75"/>
      <x:c r="D191" s="75"/>
      <x:c r="E191" s="75"/>
      <x:c r="F191" s="75"/>
      <x:c r="G191" s="75"/>
      <x:c r="H191" s="75"/>
      <x:c r="I191" s="75"/>
      <x:c r="J191" s="75"/>
      <x:c r="K191" s="75"/>
      <x:c r="L191" s="75"/>
      <x:c r="M191" s="75"/>
      <x:c r="N191" s="75"/>
      <x:c r="O191" s="75"/>
      <x:c r="P191" s="75"/>
      <x:c r="Q191" s="75"/>
      <x:c r="R191" s="75"/>
      <x:c r="S191" s="75"/>
      <x:c r="T191" s="75"/>
      <x:c r="U191" s="75"/>
      <x:c r="V191" s="75"/>
      <x:c r="W191" s="75"/>
      <x:c r="X191" s="75"/>
      <x:c r="Y191" s="75"/>
      <x:c r="Z191" s="75"/>
    </x:row>
    <x:row r="192">
      <x:c r="A192" s="75"/>
      <x:c r="B192" s="75"/>
      <x:c r="C192" s="75"/>
      <x:c r="D192" s="75"/>
      <x:c r="E192" s="75"/>
      <x:c r="F192" s="75"/>
      <x:c r="G192" s="75"/>
      <x:c r="H192" s="75"/>
      <x:c r="I192" s="75"/>
      <x:c r="J192" s="75"/>
      <x:c r="K192" s="75"/>
      <x:c r="L192" s="75"/>
      <x:c r="M192" s="75"/>
      <x:c r="N192" s="75"/>
      <x:c r="O192" s="75"/>
      <x:c r="P192" s="75"/>
      <x:c r="Q192" s="75"/>
      <x:c r="R192" s="75"/>
      <x:c r="S192" s="75"/>
      <x:c r="T192" s="75"/>
      <x:c r="U192" s="75"/>
      <x:c r="V192" s="75"/>
      <x:c r="W192" s="75"/>
      <x:c r="X192" s="75"/>
      <x:c r="Y192" s="75"/>
      <x:c r="Z192" s="75"/>
    </x:row>
    <x:row r="193">
      <x:c r="A193" s="75"/>
      <x:c r="B193" s="75"/>
      <x:c r="C193" s="75"/>
      <x:c r="D193" s="75"/>
      <x:c r="E193" s="75"/>
      <x:c r="F193" s="75"/>
      <x:c r="G193" s="75"/>
      <x:c r="H193" s="75"/>
      <x:c r="I193" s="75"/>
      <x:c r="J193" s="75"/>
      <x:c r="K193" s="75"/>
      <x:c r="L193" s="75"/>
      <x:c r="M193" s="75"/>
      <x:c r="N193" s="75"/>
      <x:c r="O193" s="75"/>
      <x:c r="P193" s="75"/>
      <x:c r="Q193" s="75"/>
      <x:c r="R193" s="75"/>
      <x:c r="S193" s="75"/>
      <x:c r="T193" s="75"/>
      <x:c r="U193" s="75"/>
      <x:c r="V193" s="75"/>
      <x:c r="W193" s="75"/>
      <x:c r="X193" s="75"/>
      <x:c r="Y193" s="75"/>
      <x:c r="Z193" s="75"/>
    </x:row>
    <x:row r="194">
      <x:c r="A194" s="75"/>
      <x:c r="B194" s="75"/>
      <x:c r="C194" s="75"/>
      <x:c r="D194" s="75"/>
      <x:c r="E194" s="75"/>
      <x:c r="F194" s="75"/>
      <x:c r="G194" s="75"/>
      <x:c r="H194" s="75"/>
      <x:c r="I194" s="75"/>
      <x:c r="J194" s="75"/>
      <x:c r="K194" s="75"/>
      <x:c r="L194" s="75"/>
      <x:c r="M194" s="75"/>
      <x:c r="N194" s="75"/>
      <x:c r="O194" s="75"/>
      <x:c r="P194" s="75"/>
      <x:c r="Q194" s="75"/>
      <x:c r="R194" s="75"/>
      <x:c r="S194" s="75"/>
      <x:c r="T194" s="75"/>
      <x:c r="U194" s="75"/>
      <x:c r="V194" s="75"/>
      <x:c r="W194" s="75"/>
      <x:c r="X194" s="75"/>
      <x:c r="Y194" s="75"/>
      <x:c r="Z194" s="75"/>
    </x:row>
    <x:row r="195">
      <x:c r="A195" s="75"/>
      <x:c r="B195" s="75"/>
      <x:c r="C195" s="75"/>
      <x:c r="D195" s="75"/>
      <x:c r="E195" s="75"/>
      <x:c r="F195" s="75"/>
      <x:c r="G195" s="75"/>
      <x:c r="H195" s="75"/>
      <x:c r="I195" s="75"/>
      <x:c r="J195" s="75"/>
      <x:c r="K195" s="75"/>
      <x:c r="L195" s="75"/>
      <x:c r="M195" s="75"/>
      <x:c r="N195" s="75"/>
      <x:c r="O195" s="75"/>
      <x:c r="P195" s="75"/>
      <x:c r="Q195" s="75"/>
      <x:c r="R195" s="75"/>
      <x:c r="S195" s="75"/>
      <x:c r="T195" s="75"/>
      <x:c r="U195" s="75"/>
      <x:c r="V195" s="75"/>
      <x:c r="W195" s="75"/>
      <x:c r="X195" s="75"/>
      <x:c r="Y195" s="75"/>
      <x:c r="Z195" s="75"/>
    </x:row>
    <x:row r="196">
      <x:c r="A196" s="75"/>
      <x:c r="B196" s="75"/>
      <x:c r="C196" s="75"/>
      <x:c r="D196" s="75"/>
      <x:c r="E196" s="75"/>
      <x:c r="F196" s="75"/>
      <x:c r="G196" s="75"/>
      <x:c r="H196" s="75"/>
      <x:c r="I196" s="75"/>
      <x:c r="J196" s="75"/>
      <x:c r="K196" s="75"/>
      <x:c r="L196" s="75"/>
      <x:c r="M196" s="75"/>
      <x:c r="N196" s="75"/>
      <x:c r="O196" s="75"/>
      <x:c r="P196" s="75"/>
      <x:c r="Q196" s="75"/>
      <x:c r="R196" s="75"/>
      <x:c r="S196" s="75"/>
      <x:c r="T196" s="75"/>
      <x:c r="U196" s="75"/>
      <x:c r="V196" s="75"/>
      <x:c r="W196" s="75"/>
      <x:c r="X196" s="75"/>
      <x:c r="Y196" s="75"/>
      <x:c r="Z196" s="75"/>
    </x:row>
    <x:row r="197">
      <x:c r="A197" s="75"/>
      <x:c r="B197" s="75"/>
      <x:c r="C197" s="75"/>
      <x:c r="D197" s="75"/>
      <x:c r="E197" s="75"/>
      <x:c r="F197" s="75"/>
      <x:c r="G197" s="75"/>
      <x:c r="H197" s="75"/>
      <x:c r="I197" s="75"/>
      <x:c r="J197" s="75"/>
      <x:c r="K197" s="75"/>
      <x:c r="L197" s="75"/>
      <x:c r="M197" s="75"/>
      <x:c r="N197" s="75"/>
      <x:c r="O197" s="75"/>
      <x:c r="P197" s="75"/>
      <x:c r="Q197" s="75"/>
      <x:c r="R197" s="75"/>
      <x:c r="S197" s="75"/>
      <x:c r="T197" s="75"/>
      <x:c r="U197" s="75"/>
      <x:c r="V197" s="75"/>
      <x:c r="W197" s="75"/>
      <x:c r="X197" s="75"/>
      <x:c r="Y197" s="75"/>
      <x:c r="Z197" s="75"/>
    </x:row>
    <x:row r="198">
      <x:c r="A198" s="75"/>
      <x:c r="B198" s="75"/>
      <x:c r="C198" s="75"/>
      <x:c r="D198" s="75"/>
      <x:c r="E198" s="75"/>
      <x:c r="F198" s="75"/>
      <x:c r="G198" s="75"/>
      <x:c r="H198" s="75"/>
      <x:c r="I198" s="75"/>
      <x:c r="J198" s="75"/>
      <x:c r="K198" s="75"/>
      <x:c r="L198" s="75"/>
      <x:c r="M198" s="75"/>
      <x:c r="N198" s="75"/>
      <x:c r="O198" s="75"/>
      <x:c r="P198" s="75"/>
      <x:c r="Q198" s="75"/>
      <x:c r="R198" s="75"/>
      <x:c r="S198" s="75"/>
      <x:c r="T198" s="75"/>
      <x:c r="U198" s="75"/>
      <x:c r="V198" s="75"/>
      <x:c r="W198" s="75"/>
      <x:c r="X198" s="75"/>
      <x:c r="Y198" s="75"/>
      <x:c r="Z198" s="75"/>
    </x:row>
    <x:row r="199">
      <x:c r="A199" s="75"/>
      <x:c r="B199" s="75"/>
      <x:c r="C199" s="75"/>
      <x:c r="D199" s="75"/>
      <x:c r="E199" s="75"/>
      <x:c r="F199" s="75"/>
      <x:c r="G199" s="75"/>
      <x:c r="H199" s="75"/>
      <x:c r="I199" s="75"/>
      <x:c r="J199" s="75"/>
      <x:c r="K199" s="75"/>
      <x:c r="L199" s="75"/>
      <x:c r="M199" s="75"/>
      <x:c r="N199" s="75"/>
      <x:c r="O199" s="75"/>
      <x:c r="P199" s="75"/>
      <x:c r="Q199" s="75"/>
      <x:c r="R199" s="75"/>
      <x:c r="S199" s="75"/>
      <x:c r="T199" s="75"/>
      <x:c r="U199" s="75"/>
      <x:c r="V199" s="75"/>
      <x:c r="W199" s="75"/>
      <x:c r="X199" s="75"/>
      <x:c r="Y199" s="75"/>
      <x:c r="Z199" s="75"/>
    </x:row>
    <x:row r="200">
      <x:c r="A200" s="75"/>
      <x:c r="B200" s="75"/>
      <x:c r="C200" s="75"/>
      <x:c r="D200" s="75"/>
      <x:c r="E200" s="75"/>
      <x:c r="F200" s="75"/>
      <x:c r="G200" s="75"/>
      <x:c r="H200" s="75"/>
      <x:c r="I200" s="75"/>
      <x:c r="J200" s="75"/>
      <x:c r="K200" s="75"/>
      <x:c r="L200" s="75"/>
      <x:c r="M200" s="75"/>
      <x:c r="N200" s="75"/>
      <x:c r="O200" s="75"/>
      <x:c r="P200" s="75"/>
      <x:c r="Q200" s="75"/>
      <x:c r="R200" s="75"/>
      <x:c r="S200" s="75"/>
      <x:c r="T200" s="75"/>
      <x:c r="U200" s="75"/>
      <x:c r="V200" s="75"/>
      <x:c r="W200" s="75"/>
      <x:c r="X200" s="75"/>
      <x:c r="Y200" s="75"/>
      <x:c r="Z200" s="75"/>
    </x:row>
  </x:sheetData>
  <x:mergeCells>
    <x:mergeCell ref="A1:F2"/>
    <x:mergeCell ref="A17:D17"/>
  </x:mergeCells>
  <x:pageMargins left="0.7" right="0.7" top="0.75" bottom="0.75" header="0.3" footer="0.3"/>
</x:worksheet>
</file>